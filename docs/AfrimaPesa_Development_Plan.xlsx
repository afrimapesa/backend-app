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gano\Desktop\project\AfrimaPESA\"/>
    </mc:Choice>
  </mc:AlternateContent>
  <xr:revisionPtr revIDLastSave="0" documentId="13_ncr:1_{A50987A7-7335-4FFE-89A2-347AFB2C58B5}" xr6:coauthVersionLast="47" xr6:coauthVersionMax="47" xr10:uidLastSave="{00000000-0000-0000-0000-000000000000}"/>
  <bookViews>
    <workbookView xWindow="-108" yWindow="-108" windowWidth="23256" windowHeight="14616" tabRatio="500" activeTab="3" xr2:uid="{00000000-000D-0000-FFFF-FFFF00000000}"/>
  </bookViews>
  <sheets>
    <sheet name="Summary" sheetId="1" r:id="rId1"/>
    <sheet name="Tasks" sheetId="2" r:id="rId2"/>
    <sheet name="Exit Criteria" sheetId="3" r:id="rId3"/>
    <sheet name="Decisions &amp; Risks" sheetId="4" r:id="rId4"/>
  </sheets>
  <definedNames>
    <definedName name="_xlnm._FilterDatabase" localSheetId="3" hidden="1">'Decisions &amp; Risks'!$A$1:$H$10</definedName>
    <definedName name="_xlnm._FilterDatabase" localSheetId="2" hidden="1">'Exit Criteria'!$A$1:$G$19</definedName>
    <definedName name="_xlnm._FilterDatabase" localSheetId="1" hidden="1">Tasks!$A$1:$K$52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2" i="2" l="1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H40" i="2"/>
  <c r="G40" i="2"/>
  <c r="H39" i="2"/>
  <c r="G39" i="2"/>
  <c r="H38" i="2"/>
  <c r="G38" i="2"/>
  <c r="G37" i="2"/>
  <c r="H37" i="2" s="1"/>
  <c r="G36" i="2"/>
  <c r="H36" i="2" s="1"/>
  <c r="H35" i="2"/>
  <c r="G35" i="2"/>
  <c r="H34" i="2"/>
  <c r="G34" i="2"/>
  <c r="H33" i="2"/>
  <c r="G33" i="2"/>
  <c r="G32" i="2"/>
  <c r="H32" i="2" s="1"/>
  <c r="G31" i="2"/>
  <c r="H31" i="2" s="1"/>
  <c r="G30" i="2"/>
  <c r="H30" i="2" s="1"/>
  <c r="H29" i="2"/>
  <c r="G29" i="2"/>
  <c r="H28" i="2"/>
  <c r="G28" i="2"/>
  <c r="H27" i="2"/>
  <c r="G27" i="2"/>
  <c r="H26" i="2"/>
  <c r="G26" i="2"/>
  <c r="G25" i="2"/>
  <c r="H25" i="2" s="1"/>
  <c r="H24" i="2"/>
  <c r="G24" i="2"/>
  <c r="H23" i="2"/>
  <c r="G23" i="2"/>
  <c r="H22" i="2"/>
  <c r="G22" i="2"/>
  <c r="G21" i="2"/>
  <c r="H21" i="2" s="1"/>
  <c r="G20" i="2"/>
  <c r="H20" i="2" s="1"/>
  <c r="G19" i="2"/>
  <c r="H19" i="2" s="1"/>
  <c r="H18" i="2"/>
  <c r="G18" i="2"/>
  <c r="H17" i="2"/>
  <c r="G17" i="2"/>
  <c r="H16" i="2"/>
  <c r="G16" i="2"/>
  <c r="H15" i="2"/>
  <c r="G15" i="2"/>
  <c r="G14" i="2"/>
  <c r="H14" i="2" s="1"/>
  <c r="H13" i="2"/>
  <c r="G13" i="2"/>
  <c r="H12" i="2"/>
  <c r="G12" i="2"/>
  <c r="H11" i="2"/>
  <c r="G11" i="2"/>
  <c r="G10" i="2"/>
  <c r="H10" i="2" s="1"/>
  <c r="G9" i="2"/>
  <c r="H9" i="2" s="1"/>
  <c r="G8" i="2"/>
  <c r="H8" i="2" s="1"/>
  <c r="H7" i="2"/>
  <c r="G7" i="2"/>
  <c r="H6" i="2"/>
  <c r="G6" i="2"/>
  <c r="H5" i="2"/>
  <c r="G5" i="2"/>
  <c r="H4" i="2"/>
  <c r="G4" i="2"/>
  <c r="G3" i="2"/>
  <c r="H3" i="2" s="1"/>
  <c r="H2" i="2"/>
  <c r="G2" i="2"/>
  <c r="C16" i="1"/>
  <c r="L13" i="1"/>
  <c r="K13" i="1"/>
  <c r="M13" i="1" s="1"/>
  <c r="I13" i="1"/>
  <c r="H13" i="1"/>
  <c r="G13" i="1"/>
  <c r="F13" i="1"/>
  <c r="J13" i="1" s="1"/>
  <c r="E13" i="1"/>
  <c r="D13" i="1"/>
  <c r="L12" i="1"/>
  <c r="K12" i="1"/>
  <c r="M12" i="1" s="1"/>
  <c r="I12" i="1"/>
  <c r="H12" i="1"/>
  <c r="G12" i="1"/>
  <c r="J12" i="1" s="1"/>
  <c r="F12" i="1"/>
  <c r="E12" i="1"/>
  <c r="D12" i="1"/>
  <c r="L11" i="1"/>
  <c r="K11" i="1"/>
  <c r="M11" i="1" s="1"/>
  <c r="I11" i="1"/>
  <c r="H11" i="1"/>
  <c r="G11" i="1"/>
  <c r="F11" i="1"/>
  <c r="J11" i="1" s="1"/>
  <c r="E11" i="1"/>
  <c r="D11" i="1"/>
  <c r="L10" i="1"/>
  <c r="L14" i="1" s="1"/>
  <c r="K10" i="1"/>
  <c r="M10" i="1" s="1"/>
  <c r="I10" i="1"/>
  <c r="I14" i="1" s="1"/>
  <c r="H10" i="1"/>
  <c r="H14" i="1" s="1"/>
  <c r="G10" i="1"/>
  <c r="G14" i="1" s="1"/>
  <c r="F10" i="1"/>
  <c r="F14" i="1" s="1"/>
  <c r="J14" i="1" s="1"/>
  <c r="E10" i="1"/>
  <c r="D10" i="1"/>
  <c r="C6" i="1"/>
  <c r="C7" i="1" s="1"/>
  <c r="C5" i="1"/>
  <c r="K14" i="1" l="1"/>
  <c r="M14" i="1" s="1"/>
  <c r="J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000-000001000000}">
      <text>
        <r>
          <rPr>
            <sz val="10"/>
            <rFont val="Arial"/>
            <family val="2"/>
          </rPr>
          <t>Input: assumed Monday 28 Sep 2026. Change this and all task dates on the Tasks sheet shift.</t>
        </r>
      </text>
    </comment>
  </commentList>
</comments>
</file>

<file path=xl/sharedStrings.xml><?xml version="1.0" encoding="utf-8"?>
<sst xmlns="http://schemas.openxmlformats.org/spreadsheetml/2006/main" count="571" uniqueCount="307">
  <si>
    <t>AfrimaPesa V1.0 — Development Plan Tracker</t>
  </si>
  <si>
    <t>Owner: Bruno Ganontha (CTO)  ·  16 weeks, 4 phases  ·  Update the Status column on the Tasks and Exit Criteria sheets; everything here recalculates.</t>
  </si>
  <si>
    <t>Project start date (Monday of Week 1)</t>
  </si>
  <si>
    <t>Planned launch (end of Week 16)</t>
  </si>
  <si>
    <t>Today</t>
  </si>
  <si>
    <t>Current project week</t>
  </si>
  <si>
    <t>Phase</t>
  </si>
  <si>
    <t>Name</t>
  </si>
  <si>
    <t>Weeks</t>
  </si>
  <si>
    <t>Start</t>
  </si>
  <si>
    <t>End</t>
  </si>
  <si>
    <t>Tasks</t>
  </si>
  <si>
    <t>Done</t>
  </si>
  <si>
    <t>In progress</t>
  </si>
  <si>
    <t>Blocked</t>
  </si>
  <si>
    <t>% Tasks done</t>
  </si>
  <si>
    <t>Exit criteria</t>
  </si>
  <si>
    <t>Criteria met</t>
  </si>
  <si>
    <t>% Criteria met</t>
  </si>
  <si>
    <t>Phase 1</t>
  </si>
  <si>
    <t>Infrastructure &amp; Remittance Engine</t>
  </si>
  <si>
    <t>1–4</t>
  </si>
  <si>
    <t>Phase 2</t>
  </si>
  <si>
    <t>Commercial Banking &amp; Admin</t>
  </si>
  <si>
    <t>5–8</t>
  </si>
  <si>
    <t>Phase 3</t>
  </si>
  <si>
    <t>Sovereign Yield Tracker</t>
  </si>
  <si>
    <t>9–12</t>
  </si>
  <si>
    <t>Phase 4</t>
  </si>
  <si>
    <t>Integration, Hardening &amp; Launch</t>
  </si>
  <si>
    <t>13–16</t>
  </si>
  <si>
    <t>Total</t>
  </si>
  <si>
    <t>Open decisions &amp; risks</t>
  </si>
  <si>
    <t>Legend</t>
  </si>
  <si>
    <t>Yellow cell with blue text = input you can edit. Status columns use dropdowns. Rows turn green when Done/Met and red when Blocked.</t>
  </si>
  <si>
    <t>ID</t>
  </si>
  <si>
    <t>Week</t>
  </si>
  <si>
    <t>Workstream</t>
  </si>
  <si>
    <t>Task</t>
  </si>
  <si>
    <t>Deliverable / Demo</t>
  </si>
  <si>
    <t>Status</t>
  </si>
  <si>
    <t>Owner</t>
  </si>
  <si>
    <t>Notes</t>
  </si>
  <si>
    <t>T01</t>
  </si>
  <si>
    <t>Infrastructure</t>
  </si>
  <si>
    <t>Set up monorepo (backend/, ingestion/, frontend/, infra/) and Docker Compose for local dev</t>
  </si>
  <si>
    <t>docker compose up starts full stack</t>
  </si>
  <si>
    <t>Not started</t>
  </si>
  <si>
    <t>Bruno</t>
  </si>
  <si>
    <t>T02</t>
  </si>
  <si>
    <t>Configure GitHub Actions CI: lint, type checks, tests</t>
  </si>
  <si>
    <t>CI green on main</t>
  </si>
  <si>
    <t>T03</t>
  </si>
  <si>
    <t>Provision dev + staging environments, managed Postgres/TimescaleDB and Redis</t>
  </si>
  <si>
    <t>Staging reachable</t>
  </si>
  <si>
    <t>T04</t>
  </si>
  <si>
    <t>Data model</t>
  </si>
  <si>
    <t>Create reference tables: countries, currencies, corridors (seed 18), providers, user preferences</t>
  </si>
  <si>
    <t>Migrations run cleanly</t>
  </si>
  <si>
    <t>T05</t>
  </si>
  <si>
    <t>Create hypertables fx_mid_rates and provider_quotes, plus ingestion_runs table</t>
  </si>
  <si>
    <t>Schema reviewed</t>
  </si>
  <si>
    <t>T06</t>
  </si>
  <si>
    <t>Remittance</t>
  </si>
  <si>
    <t>Build calculation engine: F_transfer, A_net, effective rate, top-5 ranking by A_net</t>
  </si>
  <si>
    <t>Unit tests incl. fee edge cases</t>
  </si>
  <si>
    <t>T07</t>
  </si>
  <si>
    <t>Start mid-market FX ingestion every 5 minutes for all 18 corridors</t>
  </si>
  <si>
    <t>Rates landing in DB</t>
  </si>
  <si>
    <t>T08</t>
  </si>
  <si>
    <t>Ingestion</t>
  </si>
  <si>
    <t>Build base adapter interface (fetch → normalize → validate → store) with retries/backoff</t>
  </si>
  <si>
    <t>Framework merged</t>
  </si>
  <si>
    <t>T09</t>
  </si>
  <si>
    <t>Log every run to ingestion_runs; add sanity validator rejecting quotes far from mid-market</t>
  </si>
  <si>
    <t>Bad quotes rejected in tests</t>
  </si>
  <si>
    <t>T10</t>
  </si>
  <si>
    <t>Build Wise adapter (public API)</t>
  </si>
  <si>
    <t>Wise quotes refresh on schedule</t>
  </si>
  <si>
    <t>T11</t>
  </si>
  <si>
    <t>Build Remitly adapter (Playwright)</t>
  </si>
  <si>
    <t>Remitly quotes refresh on schedule</t>
  </si>
  <si>
    <t>T12</t>
  </si>
  <si>
    <t>API</t>
  </si>
  <si>
    <t>Build GET /v1/remittance/compare endpoint; cache quotes per corridor in Redis</t>
  </si>
  <si>
    <t>p95 &lt; 300 ms from cache</t>
  </si>
  <si>
    <t>T13</t>
  </si>
  <si>
    <t>Frontend</t>
  </si>
  <si>
    <t>Build minimal Next.js remittance comparison page</t>
  </si>
  <si>
    <t>End-to-end demo in staging</t>
  </si>
  <si>
    <t>T14</t>
  </si>
  <si>
    <t>Create banks, bank products, rate_observations hypertable and tenor normalization map</t>
  </si>
  <si>
    <t>T15</t>
  </si>
  <si>
    <t>Banking</t>
  </si>
  <si>
    <t>Implement APY and real-rate calculations (documented default compounding)</t>
  </si>
  <si>
    <t>Unit tests pass</t>
  </si>
  <si>
    <t>T16</t>
  </si>
  <si>
    <t>Data</t>
  </si>
  <si>
    <t>Add CPI inflation ingestion for all 6 countries</t>
  </si>
  <si>
    <t>CPI data in DB</t>
  </si>
  <si>
    <t>T17</t>
  </si>
  <si>
    <t>Build bank source inventory (HTML / PDF / not published) for ~29 banks</t>
  </si>
  <si>
    <t>Inventory complete; phase re-sized</t>
  </si>
  <si>
    <t>T18</t>
  </si>
  <si>
    <t>Build reusable HTML and PDF (pdfplumber) scraper templates</t>
  </si>
  <si>
    <t>Templates merged</t>
  </si>
  <si>
    <t>T19</t>
  </si>
  <si>
    <t>Scrapers for first batch of banks (~3 countries)</t>
  </si>
  <si>
    <t>Rates from 3 countries in DB</t>
  </si>
  <si>
    <t>T20</t>
  </si>
  <si>
    <t>Scrapers for remaining 3 countries; mark non-publishing banks as 'manual' source</t>
  </si>
  <si>
    <t>All 6 countries have data</t>
  </si>
  <si>
    <t>T21</t>
  </si>
  <si>
    <t>Build WorldRemit and Western Union adapters (carry-over)</t>
  </si>
  <si>
    <t>Quotes refresh on schedule</t>
  </si>
  <si>
    <t>T22</t>
  </si>
  <si>
    <t>Admin</t>
  </si>
  <si>
    <t>Admin authentication with 2FA and roles (admin, editor)</t>
  </si>
  <si>
    <t>Login works with 2FA</t>
  </si>
  <si>
    <t>T23</t>
  </si>
  <si>
    <t>Manual rate override form with required reason field</t>
  </si>
  <si>
    <t>Override updates public page</t>
  </si>
  <si>
    <t>T24</t>
  </si>
  <si>
    <t>Append-only audit log enforced at DB level (revoked UPDATE/DELETE, trigger)</t>
  </si>
  <si>
    <t>Test proves rows immutable</t>
  </si>
  <si>
    <t>T25</t>
  </si>
  <si>
    <t>Scraper health dashboard + Slack/email alert after 2 consecutive failures</t>
  </si>
  <si>
    <t>Broken scraper visible &amp; alerted</t>
  </si>
  <si>
    <t>T26</t>
  </si>
  <si>
    <t>Public banking page: country selector, lending/deposit tabs, sortable columns</t>
  </si>
  <si>
    <t>Page live in staging</t>
  </si>
  <si>
    <t>T27</t>
  </si>
  <si>
    <t>Create instruments table and yield_observations hypertable</t>
  </si>
  <si>
    <t>T28</t>
  </si>
  <si>
    <t>Add credit rating entry (S&amp;P, Fitch, Moody's) to admin panel</t>
  </si>
  <si>
    <t>Ratings editable &amp; audited</t>
  </si>
  <si>
    <t>T29</t>
  </si>
  <si>
    <t>Decide Eurobond price source (paid feed vs delayed public data)</t>
  </si>
  <si>
    <t>Decision recorded</t>
  </si>
  <si>
    <t>T30</t>
  </si>
  <si>
    <t>Sovereign</t>
  </si>
  <si>
    <t>Build T-bill and bond auction scrapers for 6 countries (PDF-heavy)</t>
  </si>
  <si>
    <t>Latest auctions ingested</t>
  </si>
  <si>
    <t>T31</t>
  </si>
  <si>
    <t>Implement discount-to-yield with per-country day-count conventions</t>
  </si>
  <si>
    <t>T32</t>
  </si>
  <si>
    <t>Implement YTM from price with numerical solver (Brent)</t>
  </si>
  <si>
    <t>Matches references within 1 bp</t>
  </si>
  <si>
    <t>T33</t>
  </si>
  <si>
    <t>Fit Nelson-Siegel curves per country/date with cubic spline fallback; store params</t>
  </si>
  <si>
    <t>Curves generated</t>
  </si>
  <si>
    <t>T34</t>
  </si>
  <si>
    <t>Compute real yields: (1 + YTM) / (1 + inflation) − 1</t>
  </si>
  <si>
    <t>T35</t>
  </si>
  <si>
    <t>Validate curves against published ones (e.g. FMDQ, JSE)</t>
  </si>
  <si>
    <t>Fit error within threshold</t>
  </si>
  <si>
    <t>T36</t>
  </si>
  <si>
    <t>Sovereign page: yield curve chart (Recharts), T-bill/bond/Eurobond tables, ratings matrix, history</t>
  </si>
  <si>
    <t>T37</t>
  </si>
  <si>
    <t>Add LemFi, NALA, Sendwave, Chipper, Flutterwave (prefer partner APIs)</t>
  </si>
  <si>
    <t>T38</t>
  </si>
  <si>
    <t>Global country/region preference (cookie + profile)</t>
  </si>
  <si>
    <t>Preference persists across pages</t>
  </si>
  <si>
    <t>T39</t>
  </si>
  <si>
    <t>Notification sign-up with double opt-in and UK GDPR consent records</t>
  </si>
  <si>
    <t>Consent stored</t>
  </si>
  <si>
    <t>T40</t>
  </si>
  <si>
    <t>Site-wide FX ticker</t>
  </si>
  <si>
    <t>Ticker live</t>
  </si>
  <si>
    <t>T41</t>
  </si>
  <si>
    <t>QA</t>
  </si>
  <si>
    <t>Playwright end-to-end tests for 3 core user journeys</t>
  </si>
  <si>
    <t>E2E suite green in CI</t>
  </si>
  <si>
    <t>T42</t>
  </si>
  <si>
    <t>Performance</t>
  </si>
  <si>
    <t>Locust load tests (target 500 concurrent users, p95 &lt; 500 ms)</t>
  </si>
  <si>
    <t>Load test report</t>
  </si>
  <si>
    <t>T43</t>
  </si>
  <si>
    <t>Database index review</t>
  </si>
  <si>
    <t>Slow queries resolved</t>
  </si>
  <si>
    <t>T44</t>
  </si>
  <si>
    <t>TimescaleDB continuous aggregates and compression; tune Redis TTLs</t>
  </si>
  <si>
    <t>Historical charts fast</t>
  </si>
  <si>
    <t>T45</t>
  </si>
  <si>
    <t>Security</t>
  </si>
  <si>
    <t>OWASP Top 10 review; dependency and container scanning; secrets manager</t>
  </si>
  <si>
    <t>No high-severity findings</t>
  </si>
  <si>
    <t>T46</t>
  </si>
  <si>
    <t>Admin behind IP allowlist/VPN + 2FA; rate limiting and WAF</t>
  </si>
  <si>
    <t>Controls verified</t>
  </si>
  <si>
    <t>T47</t>
  </si>
  <si>
    <t>Backup and restore drill (actually restore)</t>
  </si>
  <si>
    <t>Restore succeeded</t>
  </si>
  <si>
    <t>T48</t>
  </si>
  <si>
    <t>DevOps</t>
  </si>
  <si>
    <t>Terraform infrastructure as code</t>
  </si>
  <si>
    <t>Prod reproducible from code</t>
  </si>
  <si>
    <t>T49</t>
  </si>
  <si>
    <t>ECS deployment with blue/green releases; rehearse rollback</t>
  </si>
  <si>
    <t>Rollback rehearsed</t>
  </si>
  <si>
    <t>T50</t>
  </si>
  <si>
    <t>Monitoring (Sentry, CloudWatch/Grafana) and scraper-failure runbooks</t>
  </si>
  <si>
    <t>Alerts firing correctly</t>
  </si>
  <si>
    <t>T51</t>
  </si>
  <si>
    <t>Launch</t>
  </si>
  <si>
    <t>Soft launch</t>
  </si>
  <si>
    <t>V1.0 live</t>
  </si>
  <si>
    <t>Criterion</t>
  </si>
  <si>
    <t>Target / Test</t>
  </si>
  <si>
    <t>Evidence / Link</t>
  </si>
  <si>
    <t>Date verified</t>
  </si>
  <si>
    <t>E01</t>
  </si>
  <si>
    <t>Mid-market FX refresh</t>
  </si>
  <si>
    <t>All 18 corridors refresh at least every 5 minutes</t>
  </si>
  <si>
    <t>Not met</t>
  </si>
  <si>
    <t>E02</t>
  </si>
  <si>
    <t>Provider ingestion reliability</t>
  </si>
  <si>
    <t>Wise &amp; Remitly: ≥95% successful runs over 3 days</t>
  </si>
  <si>
    <t>E03</t>
  </si>
  <si>
    <t>Compare API latency</t>
  </si>
  <si>
    <t>p95 &lt; 300 ms served from cache</t>
  </si>
  <si>
    <t>E04</t>
  </si>
  <si>
    <t>Calculation engine tests</t>
  </si>
  <si>
    <t>≥90% test coverage</t>
  </si>
  <si>
    <t>E05</t>
  </si>
  <si>
    <t>Stale data flagging</t>
  </si>
  <si>
    <t>Quotes older than 2× update interval flagged in API</t>
  </si>
  <si>
    <t>E06</t>
  </si>
  <si>
    <t>Bank coverage</t>
  </si>
  <si>
    <t>≥80% of tracked banks show ≥1 deposit and ≥1 lending product</t>
  </si>
  <si>
    <t>E07</t>
  </si>
  <si>
    <t>Source transparency</t>
  </si>
  <si>
    <t>Every displayed rate shows source and last-verified date</t>
  </si>
  <si>
    <t>E08</t>
  </si>
  <si>
    <t>Audit log integrity</t>
  </si>
  <si>
    <t>Automated test proves audit rows cannot be modified</t>
  </si>
  <si>
    <t>E09</t>
  </si>
  <si>
    <t>Scraper monitoring</t>
  </si>
  <si>
    <t>Broken scraper shown within 1 run and alert fired</t>
  </si>
  <si>
    <t>E10</t>
  </si>
  <si>
    <t>Auction freshness</t>
  </si>
  <si>
    <t>Latest auction per country ingested within 24 h of publication</t>
  </si>
  <si>
    <t>E11</t>
  </si>
  <si>
    <t>Yield curves</t>
  </si>
  <si>
    <t>Curves generated when ≥4 tenor points; sparse curves labelled</t>
  </si>
  <si>
    <t>E12</t>
  </si>
  <si>
    <t>YTM accuracy</t>
  </si>
  <si>
    <t>YTM within 1 bp of reference examples</t>
  </si>
  <si>
    <t>E13</t>
  </si>
  <si>
    <t>Credit ratings</t>
  </si>
  <si>
    <t>All 6 sovereigns × 3 agencies entered with date and source</t>
  </si>
  <si>
    <t>E14</t>
  </si>
  <si>
    <t>Load testing</t>
  </si>
  <si>
    <t>Agreed load targets met (default 500 users, p95 &lt; 500 ms)</t>
  </si>
  <si>
    <t>E15</t>
  </si>
  <si>
    <t>No open high-severity findings</t>
  </si>
  <si>
    <t>E16</t>
  </si>
  <si>
    <t>Disaster recovery</t>
  </si>
  <si>
    <t>Restore from backup tested successfully</t>
  </si>
  <si>
    <t>E17</t>
  </si>
  <si>
    <t>Observability</t>
  </si>
  <si>
    <t>Monitoring and alerts live in production</t>
  </si>
  <si>
    <t>E18</t>
  </si>
  <si>
    <t>Rollback</t>
  </si>
  <si>
    <t>Rollback rehearsed at least once</t>
  </si>
  <si>
    <t>Type</t>
  </si>
  <si>
    <t>Item</t>
  </si>
  <si>
    <t>Impact on</t>
  </si>
  <si>
    <t>Needed by</t>
  </si>
  <si>
    <t>Resolution / Notes</t>
  </si>
  <si>
    <t>D01</t>
  </si>
  <si>
    <t>Decision</t>
  </si>
  <si>
    <t>Cloud provider (AWS recommended, since Phase 4 targets ECS)</t>
  </si>
  <si>
    <t>Infrastructure choices</t>
  </si>
  <si>
    <t>Before Week 1</t>
  </si>
  <si>
    <t>Bruno + Claudio</t>
  </si>
  <si>
    <t>Open</t>
  </si>
  <si>
    <t>D02</t>
  </si>
  <si>
    <t>Mid-market FX data source (paid FX API)</t>
  </si>
  <si>
    <t>Remittance reference rate and ticker</t>
  </si>
  <si>
    <t>D03</t>
  </si>
  <si>
    <t>Legal position on scraping and reverse-engineered APIs</t>
  </si>
  <si>
    <t>Provider adapters</t>
  </si>
  <si>
    <t>Claudio</t>
  </si>
  <si>
    <t>D04</t>
  </si>
  <si>
    <t>MVP cut line if schedule slips</t>
  </si>
  <si>
    <t>Launch date</t>
  </si>
  <si>
    <t>D05</t>
  </si>
  <si>
    <t>Gap</t>
  </si>
  <si>
    <t>Pillar 4 (expert commentary), notifications and news feed not in roadmap; news needs Reuters/Bloomberg licensing</t>
  </si>
  <si>
    <t>Scope / launch date</t>
  </si>
  <si>
    <t>D06</t>
  </si>
  <si>
    <t>Risk</t>
  </si>
  <si>
    <t>Scraping / app API reverse engineering likely breaches provider ToS; fragile. Mitigate: UK legal advice, affiliate/partner programs</t>
  </si>
  <si>
    <t>Remittance module</t>
  </si>
  <si>
    <t>Before Phase 1 ends</t>
  </si>
  <si>
    <t>D07</t>
  </si>
  <si>
    <t>'Real-time' sovereign data unrealistic: T-bills are weekly/biweekly auctions; live Eurobond prices need paid feed</t>
  </si>
  <si>
    <t>User expectations / budget</t>
  </si>
  <si>
    <t>Week 9</t>
  </si>
  <si>
    <t>D08</t>
  </si>
  <si>
    <t>Many banks publish no rates online (esp. lending) — needs ongoing manual collection by operations</t>
  </si>
  <si>
    <t>Banking coverage / staffing</t>
  </si>
  <si>
    <t>Week 5</t>
  </si>
  <si>
    <t>D09</t>
  </si>
  <si>
    <t>16 weeks tight for one developer covering ~40 data sources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</si>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</sst>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dd\ mmm"/>
  </numFmts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9"/>
      <color rgb="FF595959"/>
      <name val="Arial"/>
      <charset val="1"/>
    </font>
    <font>
      <sz val="10"/>
      <name val="Arial"/>
      <family val="2"/>
    </font>
    <font>
      <sz val="10"/>
      <color rgb="FF0000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/>
    <xf numFmtId="164" fontId="3" fillId="0" borderId="0" xfId="0" applyNumberFormat="1" applyFont="1"/>
    <xf numFmtId="164" fontId="5" fillId="0" borderId="0" xfId="0" applyNumberFormat="1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164" fontId="5" fillId="4" borderId="1" xfId="0" applyNumberFormat="1" applyFont="1" applyFill="1" applyBorder="1"/>
    <xf numFmtId="9" fontId="5" fillId="4" borderId="1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9" fontId="5" fillId="5" borderId="1" xfId="0" applyNumberFormat="1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9" fontId="5" fillId="6" borderId="1" xfId="0" applyNumberFormat="1" applyFont="1" applyFill="1" applyBorder="1"/>
    <xf numFmtId="0" fontId="5" fillId="7" borderId="1" xfId="0" applyFont="1" applyFill="1" applyBorder="1"/>
    <xf numFmtId="164" fontId="5" fillId="7" borderId="1" xfId="0" applyNumberFormat="1" applyFont="1" applyFill="1" applyBorder="1"/>
    <xf numFmtId="9" fontId="5" fillId="7" borderId="1" xfId="0" applyNumberFormat="1" applyFont="1" applyFill="1" applyBorder="1"/>
    <xf numFmtId="0" fontId="3" fillId="8" borderId="1" xfId="0" applyFont="1" applyFill="1" applyBorder="1"/>
    <xf numFmtId="9" fontId="3" fillId="8" borderId="1" xfId="0" applyNumberFormat="1" applyFont="1" applyFill="1" applyBorder="1"/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zoomScaleNormal="100" workbookViewId="0">
      <pane ySplit="9" topLeftCell="A10" activePane="bottomLeft" state="frozen"/>
      <selection pane="bottomLeft" activeCell="B20" sqref="B20"/>
    </sheetView>
  </sheetViews>
  <sheetFormatPr defaultColWidth="8.6640625" defaultRowHeight="14.4" x14ac:dyDescent="0.3"/>
  <cols>
    <col min="1" max="1" width="130.88671875" bestFit="1" customWidth="1"/>
    <col min="2" max="2" width="30" bestFit="1" customWidth="1"/>
    <col min="3" max="3" width="12.109375" bestFit="1" customWidth="1"/>
    <col min="4" max="4" width="11.77734375" bestFit="1" customWidth="1"/>
    <col min="5" max="5" width="11.44140625" bestFit="1" customWidth="1"/>
    <col min="6" max="6" width="6.109375" bestFit="1" customWidth="1"/>
    <col min="7" max="7" width="5.5546875" bestFit="1" customWidth="1"/>
    <col min="8" max="8" width="11" customWidth="1"/>
    <col min="9" max="9" width="8" bestFit="1" customWidth="1"/>
    <col min="10" max="10" width="8.44140625" bestFit="1" customWidth="1"/>
    <col min="11" max="11" width="11" customWidth="1"/>
    <col min="12" max="12" width="7.44140625" bestFit="1" customWidth="1"/>
    <col min="13" max="13" width="9.77734375" bestFit="1" customWidth="1"/>
  </cols>
  <sheetData>
    <row r="1" spans="1:13" ht="21" x14ac:dyDescent="0.4">
      <c r="A1" s="1" t="s">
        <v>0</v>
      </c>
    </row>
    <row r="2" spans="1:13" x14ac:dyDescent="0.3">
      <c r="A2" s="2" t="s">
        <v>1</v>
      </c>
    </row>
    <row r="4" spans="1:13" x14ac:dyDescent="0.3">
      <c r="A4" s="3" t="s">
        <v>2</v>
      </c>
      <c r="C4" s="4">
        <v>46293</v>
      </c>
    </row>
    <row r="5" spans="1:13" x14ac:dyDescent="0.3">
      <c r="A5" s="3" t="s">
        <v>3</v>
      </c>
      <c r="C5" s="5">
        <f>C4+7*15+4</f>
        <v>46402</v>
      </c>
    </row>
    <row r="6" spans="1:13" x14ac:dyDescent="0.3">
      <c r="A6" s="3" t="s">
        <v>4</v>
      </c>
      <c r="C6" s="6">
        <f ca="1">TODAY()</f>
        <v>46290</v>
      </c>
    </row>
    <row r="7" spans="1:13" x14ac:dyDescent="0.3">
      <c r="A7" s="3" t="s">
        <v>5</v>
      </c>
      <c r="C7" s="7" t="str">
        <f ca="1">IF(C6&lt;C4,"Not started",IF(C6&gt;C5,"Past launch",INT((C6-C4)/7)+1))</f>
        <v>Not started</v>
      </c>
    </row>
    <row r="9" spans="1:13" ht="30" customHeight="1" x14ac:dyDescent="0.3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8" t="s">
        <v>16</v>
      </c>
      <c r="L9" s="8" t="s">
        <v>17</v>
      </c>
      <c r="M9" s="8" t="s">
        <v>18</v>
      </c>
    </row>
    <row r="10" spans="1:13" x14ac:dyDescent="0.3">
      <c r="A10" s="9" t="s">
        <v>19</v>
      </c>
      <c r="B10" s="9" t="s">
        <v>20</v>
      </c>
      <c r="C10" s="9" t="s">
        <v>21</v>
      </c>
      <c r="D10" s="10">
        <f>$C$4+7*0</f>
        <v>46293</v>
      </c>
      <c r="E10" s="10">
        <f>$C$4+7*3+4</f>
        <v>46318</v>
      </c>
      <c r="F10" s="9">
        <f>COUNTIFS(Tasks!$B:$B,"Phase 1")</f>
        <v>13</v>
      </c>
      <c r="G10" s="9">
        <f>COUNTIFS(Tasks!$B:$B,"Phase 1",Tasks!$I:$I,"Done")</f>
        <v>0</v>
      </c>
      <c r="H10" s="9">
        <f>COUNTIFS(Tasks!$B:$B,"Phase 1",Tasks!$I:$I,"In progress")</f>
        <v>0</v>
      </c>
      <c r="I10" s="9">
        <f>COUNTIFS(Tasks!$B:$B,"Phase 1",Tasks!$I:$I,"Blocked")</f>
        <v>0</v>
      </c>
      <c r="J10" s="11">
        <f>IF(F10=0,0,G10/F10)</f>
        <v>0</v>
      </c>
      <c r="K10" s="9">
        <f>COUNTIFS('Exit Criteria'!$B:$B,"Phase 1")</f>
        <v>5</v>
      </c>
      <c r="L10" s="9">
        <f>COUNTIFS('Exit Criteria'!$B:$B,"Phase 1",'Exit Criteria'!$E:$E,"Met")</f>
        <v>0</v>
      </c>
      <c r="M10" s="11">
        <f>IF(K10=0,0,L10/K10)</f>
        <v>0</v>
      </c>
    </row>
    <row r="11" spans="1:13" x14ac:dyDescent="0.3">
      <c r="A11" s="12" t="s">
        <v>22</v>
      </c>
      <c r="B11" s="12" t="s">
        <v>23</v>
      </c>
      <c r="C11" s="12" t="s">
        <v>24</v>
      </c>
      <c r="D11" s="13">
        <f>$C$4+7*4</f>
        <v>46321</v>
      </c>
      <c r="E11" s="13">
        <f>$C$4+7*7+4</f>
        <v>46346</v>
      </c>
      <c r="F11" s="12">
        <f>COUNTIFS(Tasks!$B:$B,"Phase 2")</f>
        <v>13</v>
      </c>
      <c r="G11" s="12">
        <f>COUNTIFS(Tasks!$B:$B,"Phase 2",Tasks!$I:$I,"Done")</f>
        <v>0</v>
      </c>
      <c r="H11" s="12">
        <f>COUNTIFS(Tasks!$B:$B,"Phase 2",Tasks!$I:$I,"In progress")</f>
        <v>0</v>
      </c>
      <c r="I11" s="12">
        <f>COUNTIFS(Tasks!$B:$B,"Phase 2",Tasks!$I:$I,"Blocked")</f>
        <v>0</v>
      </c>
      <c r="J11" s="14">
        <f>IF(F11=0,0,G11/F11)</f>
        <v>0</v>
      </c>
      <c r="K11" s="12">
        <f>COUNTIFS('Exit Criteria'!$B:$B,"Phase 2")</f>
        <v>4</v>
      </c>
      <c r="L11" s="12">
        <f>COUNTIFS('Exit Criteria'!$B:$B,"Phase 2",'Exit Criteria'!$E:$E,"Met")</f>
        <v>0</v>
      </c>
      <c r="M11" s="14">
        <f>IF(K11=0,0,L11/K11)</f>
        <v>0</v>
      </c>
    </row>
    <row r="12" spans="1:13" x14ac:dyDescent="0.3">
      <c r="A12" s="15" t="s">
        <v>25</v>
      </c>
      <c r="B12" s="15" t="s">
        <v>26</v>
      </c>
      <c r="C12" s="15" t="s">
        <v>27</v>
      </c>
      <c r="D12" s="16">
        <f>$C$4+7*8</f>
        <v>46349</v>
      </c>
      <c r="E12" s="16">
        <f>$C$4+7*11+4</f>
        <v>46374</v>
      </c>
      <c r="F12" s="15">
        <f>COUNTIFS(Tasks!$B:$B,"Phase 3")</f>
        <v>11</v>
      </c>
      <c r="G12" s="15">
        <f>COUNTIFS(Tasks!$B:$B,"Phase 3",Tasks!$I:$I,"Done")</f>
        <v>0</v>
      </c>
      <c r="H12" s="15">
        <f>COUNTIFS(Tasks!$B:$B,"Phase 3",Tasks!$I:$I,"In progress")</f>
        <v>0</v>
      </c>
      <c r="I12" s="15">
        <f>COUNTIFS(Tasks!$B:$B,"Phase 3",Tasks!$I:$I,"Blocked")</f>
        <v>0</v>
      </c>
      <c r="J12" s="17">
        <f>IF(F12=0,0,G12/F12)</f>
        <v>0</v>
      </c>
      <c r="K12" s="15">
        <f>COUNTIFS('Exit Criteria'!$B:$B,"Phase 3")</f>
        <v>4</v>
      </c>
      <c r="L12" s="15">
        <f>COUNTIFS('Exit Criteria'!$B:$B,"Phase 3",'Exit Criteria'!$E:$E,"Met")</f>
        <v>0</v>
      </c>
      <c r="M12" s="17">
        <f>IF(K12=0,0,L12/K12)</f>
        <v>0</v>
      </c>
    </row>
    <row r="13" spans="1:13" x14ac:dyDescent="0.3">
      <c r="A13" s="18" t="s">
        <v>28</v>
      </c>
      <c r="B13" s="18" t="s">
        <v>29</v>
      </c>
      <c r="C13" s="18" t="s">
        <v>30</v>
      </c>
      <c r="D13" s="19">
        <f>$C$4+7*12</f>
        <v>46377</v>
      </c>
      <c r="E13" s="19">
        <f>$C$4+7*15+4</f>
        <v>46402</v>
      </c>
      <c r="F13" s="18">
        <f>COUNTIFS(Tasks!$B:$B,"Phase 4")</f>
        <v>14</v>
      </c>
      <c r="G13" s="18">
        <f>COUNTIFS(Tasks!$B:$B,"Phase 4",Tasks!$I:$I,"Done")</f>
        <v>0</v>
      </c>
      <c r="H13" s="18">
        <f>COUNTIFS(Tasks!$B:$B,"Phase 4",Tasks!$I:$I,"In progress")</f>
        <v>0</v>
      </c>
      <c r="I13" s="18">
        <f>COUNTIFS(Tasks!$B:$B,"Phase 4",Tasks!$I:$I,"Blocked")</f>
        <v>0</v>
      </c>
      <c r="J13" s="20">
        <f>IF(F13=0,0,G13/F13)</f>
        <v>0</v>
      </c>
      <c r="K13" s="18">
        <f>COUNTIFS('Exit Criteria'!$B:$B,"Phase 4")</f>
        <v>5</v>
      </c>
      <c r="L13" s="18">
        <f>COUNTIFS('Exit Criteria'!$B:$B,"Phase 4",'Exit Criteria'!$E:$E,"Met")</f>
        <v>0</v>
      </c>
      <c r="M13" s="20">
        <f>IF(K13=0,0,L13/K13)</f>
        <v>0</v>
      </c>
    </row>
    <row r="14" spans="1:13" x14ac:dyDescent="0.3">
      <c r="A14" s="21" t="s">
        <v>31</v>
      </c>
      <c r="B14" s="21"/>
      <c r="C14" s="21"/>
      <c r="D14" s="21"/>
      <c r="E14" s="21"/>
      <c r="F14" s="21">
        <f>SUM(F10:F13)</f>
        <v>51</v>
      </c>
      <c r="G14" s="21">
        <f>SUM(G10:G13)</f>
        <v>0</v>
      </c>
      <c r="H14" s="21">
        <f>SUM(H10:H13)</f>
        <v>0</v>
      </c>
      <c r="I14" s="21">
        <f>SUM(I10:I13)</f>
        <v>0</v>
      </c>
      <c r="J14" s="22">
        <f>IF(F14=0,0,G14/F14)</f>
        <v>0</v>
      </c>
      <c r="K14" s="21">
        <f>SUM(K10:K13)</f>
        <v>18</v>
      </c>
      <c r="L14" s="21">
        <f>SUM(L10:L13)</f>
        <v>0</v>
      </c>
      <c r="M14" s="22">
        <f>IF(K14=0,0,L14/K14)</f>
        <v>0</v>
      </c>
    </row>
    <row r="16" spans="1:13" x14ac:dyDescent="0.3">
      <c r="A16" s="3" t="s">
        <v>32</v>
      </c>
      <c r="C16" s="3">
        <f>COUNTIFS('Decisions &amp; Risks'!$G:$G,"Open")</f>
        <v>9</v>
      </c>
    </row>
    <row r="18" spans="1:1" x14ac:dyDescent="0.3">
      <c r="A18" s="3" t="s">
        <v>33</v>
      </c>
    </row>
    <row r="19" spans="1:1" x14ac:dyDescent="0.3">
      <c r="A19" s="23" t="s">
        <v>34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zoomScaleNormal="100" workbookViewId="0">
      <pane xSplit="4" ySplit="1" topLeftCell="E36" activePane="bottomRight" state="frozen"/>
      <selection pane="topRight" activeCell="E1" sqref="E1"/>
      <selection pane="bottomLeft" activeCell="A2" sqref="A2"/>
      <selection pane="bottomRight" activeCell="E6" sqref="E6"/>
    </sheetView>
  </sheetViews>
  <sheetFormatPr defaultColWidth="8.6640625" defaultRowHeight="14.4" x14ac:dyDescent="0.3"/>
  <cols>
    <col min="1" max="1" width="7.21875" bestFit="1" customWidth="1"/>
    <col min="2" max="2" width="10.77734375" bestFit="1" customWidth="1"/>
    <col min="3" max="3" width="10.33203125" bestFit="1" customWidth="1"/>
    <col min="4" max="4" width="16.21875" bestFit="1" customWidth="1"/>
    <col min="5" max="5" width="60" customWidth="1"/>
    <col min="6" max="6" width="30" bestFit="1" customWidth="1"/>
    <col min="7" max="7" width="9.77734375" bestFit="1" customWidth="1"/>
    <col min="8" max="8" width="8.88671875" bestFit="1" customWidth="1"/>
    <col min="9" max="9" width="11.109375" bestFit="1" customWidth="1"/>
    <col min="10" max="10" width="11.21875" bestFit="1" customWidth="1"/>
    <col min="11" max="11" width="10.5546875" bestFit="1" customWidth="1"/>
  </cols>
  <sheetData>
    <row r="1" spans="1:11" x14ac:dyDescent="0.3">
      <c r="A1" s="24" t="s">
        <v>35</v>
      </c>
      <c r="B1" s="24" t="s">
        <v>6</v>
      </c>
      <c r="C1" s="24" t="s">
        <v>36</v>
      </c>
      <c r="D1" s="24" t="s">
        <v>37</v>
      </c>
      <c r="E1" s="24" t="s">
        <v>38</v>
      </c>
      <c r="F1" s="24" t="s">
        <v>39</v>
      </c>
      <c r="G1" s="24" t="s">
        <v>9</v>
      </c>
      <c r="H1" s="24" t="s">
        <v>10</v>
      </c>
      <c r="I1" s="24" t="s">
        <v>40</v>
      </c>
      <c r="J1" s="24" t="s">
        <v>41</v>
      </c>
      <c r="K1" s="24" t="s">
        <v>42</v>
      </c>
    </row>
    <row r="2" spans="1:11" ht="26.4" x14ac:dyDescent="0.3">
      <c r="A2" s="25" t="s">
        <v>43</v>
      </c>
      <c r="B2" s="26" t="s">
        <v>19</v>
      </c>
      <c r="C2" s="25">
        <v>1</v>
      </c>
      <c r="D2" s="25" t="s">
        <v>44</v>
      </c>
      <c r="E2" s="25" t="s">
        <v>45</v>
      </c>
      <c r="F2" s="25" t="s">
        <v>46</v>
      </c>
      <c r="G2" s="27">
        <f>Summary!$C$4+7*(C2-1)</f>
        <v>46293</v>
      </c>
      <c r="H2" s="27">
        <f t="shared" ref="H2:H33" si="0">G2+4</f>
        <v>46297</v>
      </c>
      <c r="I2" s="28" t="s">
        <v>47</v>
      </c>
      <c r="J2" s="28" t="s">
        <v>48</v>
      </c>
      <c r="K2" s="25"/>
    </row>
    <row r="3" spans="1:11" x14ac:dyDescent="0.3">
      <c r="A3" s="25" t="s">
        <v>49</v>
      </c>
      <c r="B3" s="26" t="s">
        <v>19</v>
      </c>
      <c r="C3" s="25">
        <v>1</v>
      </c>
      <c r="D3" s="25" t="s">
        <v>44</v>
      </c>
      <c r="E3" s="25" t="s">
        <v>50</v>
      </c>
      <c r="F3" s="25" t="s">
        <v>51</v>
      </c>
      <c r="G3" s="27">
        <f>Summary!$C$4+7*(C3-1)</f>
        <v>46293</v>
      </c>
      <c r="H3" s="27">
        <f t="shared" si="0"/>
        <v>46297</v>
      </c>
      <c r="I3" s="28" t="s">
        <v>47</v>
      </c>
      <c r="J3" s="28" t="s">
        <v>48</v>
      </c>
      <c r="K3" s="25"/>
    </row>
    <row r="4" spans="1:11" ht="26.4" x14ac:dyDescent="0.3">
      <c r="A4" s="25" t="s">
        <v>52</v>
      </c>
      <c r="B4" s="26" t="s">
        <v>19</v>
      </c>
      <c r="C4" s="25">
        <v>1</v>
      </c>
      <c r="D4" s="25" t="s">
        <v>44</v>
      </c>
      <c r="E4" s="25" t="s">
        <v>53</v>
      </c>
      <c r="F4" s="25" t="s">
        <v>54</v>
      </c>
      <c r="G4" s="27">
        <f>Summary!$C$4+7*(C4-1)</f>
        <v>46293</v>
      </c>
      <c r="H4" s="27">
        <f t="shared" si="0"/>
        <v>46297</v>
      </c>
      <c r="I4" s="28" t="s">
        <v>47</v>
      </c>
      <c r="J4" s="28" t="s">
        <v>48</v>
      </c>
      <c r="K4" s="25"/>
    </row>
    <row r="5" spans="1:11" ht="26.4" x14ac:dyDescent="0.3">
      <c r="A5" s="25" t="s">
        <v>55</v>
      </c>
      <c r="B5" s="26" t="s">
        <v>19</v>
      </c>
      <c r="C5" s="25">
        <v>2</v>
      </c>
      <c r="D5" s="25" t="s">
        <v>56</v>
      </c>
      <c r="E5" s="25" t="s">
        <v>57</v>
      </c>
      <c r="F5" s="25" t="s">
        <v>58</v>
      </c>
      <c r="G5" s="27">
        <f>Summary!$C$4+7*(C5-1)</f>
        <v>46300</v>
      </c>
      <c r="H5" s="27">
        <f t="shared" si="0"/>
        <v>46304</v>
      </c>
      <c r="I5" s="28" t="s">
        <v>47</v>
      </c>
      <c r="J5" s="28" t="s">
        <v>48</v>
      </c>
      <c r="K5" s="25"/>
    </row>
    <row r="6" spans="1:11" ht="26.4" x14ac:dyDescent="0.3">
      <c r="A6" s="25" t="s">
        <v>59</v>
      </c>
      <c r="B6" s="26" t="s">
        <v>19</v>
      </c>
      <c r="C6" s="25">
        <v>2</v>
      </c>
      <c r="D6" s="25" t="s">
        <v>56</v>
      </c>
      <c r="E6" s="25" t="s">
        <v>60</v>
      </c>
      <c r="F6" s="25" t="s">
        <v>61</v>
      </c>
      <c r="G6" s="27">
        <f>Summary!$C$4+7*(C6-1)</f>
        <v>46300</v>
      </c>
      <c r="H6" s="27">
        <f t="shared" si="0"/>
        <v>46304</v>
      </c>
      <c r="I6" s="28" t="s">
        <v>47</v>
      </c>
      <c r="J6" s="28" t="s">
        <v>48</v>
      </c>
      <c r="K6" s="25"/>
    </row>
    <row r="7" spans="1:11" ht="26.4" x14ac:dyDescent="0.3">
      <c r="A7" s="25" t="s">
        <v>62</v>
      </c>
      <c r="B7" s="26" t="s">
        <v>19</v>
      </c>
      <c r="C7" s="25">
        <v>2</v>
      </c>
      <c r="D7" s="25" t="s">
        <v>63</v>
      </c>
      <c r="E7" s="25" t="s">
        <v>64</v>
      </c>
      <c r="F7" s="25" t="s">
        <v>65</v>
      </c>
      <c r="G7" s="27">
        <f>Summary!$C$4+7*(C7-1)</f>
        <v>46300</v>
      </c>
      <c r="H7" s="27">
        <f t="shared" si="0"/>
        <v>46304</v>
      </c>
      <c r="I7" s="28" t="s">
        <v>47</v>
      </c>
      <c r="J7" s="28" t="s">
        <v>48</v>
      </c>
      <c r="K7" s="25"/>
    </row>
    <row r="8" spans="1:11" x14ac:dyDescent="0.3">
      <c r="A8" s="25" t="s">
        <v>66</v>
      </c>
      <c r="B8" s="26" t="s">
        <v>19</v>
      </c>
      <c r="C8" s="25">
        <v>2</v>
      </c>
      <c r="D8" s="25" t="s">
        <v>63</v>
      </c>
      <c r="E8" s="25" t="s">
        <v>67</v>
      </c>
      <c r="F8" s="25" t="s">
        <v>68</v>
      </c>
      <c r="G8" s="27">
        <f>Summary!$C$4+7*(C8-1)</f>
        <v>46300</v>
      </c>
      <c r="H8" s="27">
        <f t="shared" si="0"/>
        <v>46304</v>
      </c>
      <c r="I8" s="28" t="s">
        <v>47</v>
      </c>
      <c r="J8" s="28" t="s">
        <v>48</v>
      </c>
      <c r="K8" s="25"/>
    </row>
    <row r="9" spans="1:11" ht="26.4" x14ac:dyDescent="0.3">
      <c r="A9" s="25" t="s">
        <v>69</v>
      </c>
      <c r="B9" s="26" t="s">
        <v>19</v>
      </c>
      <c r="C9" s="25">
        <v>3</v>
      </c>
      <c r="D9" s="25" t="s">
        <v>70</v>
      </c>
      <c r="E9" s="25" t="s">
        <v>71</v>
      </c>
      <c r="F9" s="25" t="s">
        <v>72</v>
      </c>
      <c r="G9" s="27">
        <f>Summary!$C$4+7*(C9-1)</f>
        <v>46307</v>
      </c>
      <c r="H9" s="27">
        <f t="shared" si="0"/>
        <v>46311</v>
      </c>
      <c r="I9" s="28" t="s">
        <v>47</v>
      </c>
      <c r="J9" s="28" t="s">
        <v>48</v>
      </c>
      <c r="K9" s="25"/>
    </row>
    <row r="10" spans="1:11" ht="26.4" x14ac:dyDescent="0.3">
      <c r="A10" s="25" t="s">
        <v>73</v>
      </c>
      <c r="B10" s="26" t="s">
        <v>19</v>
      </c>
      <c r="C10" s="25">
        <v>3</v>
      </c>
      <c r="D10" s="25" t="s">
        <v>70</v>
      </c>
      <c r="E10" s="25" t="s">
        <v>74</v>
      </c>
      <c r="F10" s="25" t="s">
        <v>75</v>
      </c>
      <c r="G10" s="27">
        <f>Summary!$C$4+7*(C10-1)</f>
        <v>46307</v>
      </c>
      <c r="H10" s="27">
        <f t="shared" si="0"/>
        <v>46311</v>
      </c>
      <c r="I10" s="28" t="s">
        <v>47</v>
      </c>
      <c r="J10" s="28" t="s">
        <v>48</v>
      </c>
      <c r="K10" s="25"/>
    </row>
    <row r="11" spans="1:11" x14ac:dyDescent="0.3">
      <c r="A11" s="25" t="s">
        <v>76</v>
      </c>
      <c r="B11" s="26" t="s">
        <v>19</v>
      </c>
      <c r="C11" s="25">
        <v>3</v>
      </c>
      <c r="D11" s="25" t="s">
        <v>63</v>
      </c>
      <c r="E11" s="25" t="s">
        <v>77</v>
      </c>
      <c r="F11" s="25" t="s">
        <v>78</v>
      </c>
      <c r="G11" s="27">
        <f>Summary!$C$4+7*(C11-1)</f>
        <v>46307</v>
      </c>
      <c r="H11" s="27">
        <f t="shared" si="0"/>
        <v>46311</v>
      </c>
      <c r="I11" s="28" t="s">
        <v>47</v>
      </c>
      <c r="J11" s="28" t="s">
        <v>48</v>
      </c>
      <c r="K11" s="25"/>
    </row>
    <row r="12" spans="1:11" x14ac:dyDescent="0.3">
      <c r="A12" s="25" t="s">
        <v>79</v>
      </c>
      <c r="B12" s="26" t="s">
        <v>19</v>
      </c>
      <c r="C12" s="25">
        <v>4</v>
      </c>
      <c r="D12" s="25" t="s">
        <v>63</v>
      </c>
      <c r="E12" s="25" t="s">
        <v>80</v>
      </c>
      <c r="F12" s="25" t="s">
        <v>81</v>
      </c>
      <c r="G12" s="27">
        <f>Summary!$C$4+7*(C12-1)</f>
        <v>46314</v>
      </c>
      <c r="H12" s="27">
        <f t="shared" si="0"/>
        <v>46318</v>
      </c>
      <c r="I12" s="28" t="s">
        <v>47</v>
      </c>
      <c r="J12" s="28" t="s">
        <v>48</v>
      </c>
      <c r="K12" s="25"/>
    </row>
    <row r="13" spans="1:11" ht="26.4" x14ac:dyDescent="0.3">
      <c r="A13" s="25" t="s">
        <v>82</v>
      </c>
      <c r="B13" s="26" t="s">
        <v>19</v>
      </c>
      <c r="C13" s="25">
        <v>4</v>
      </c>
      <c r="D13" s="25" t="s">
        <v>83</v>
      </c>
      <c r="E13" s="25" t="s">
        <v>84</v>
      </c>
      <c r="F13" s="25" t="s">
        <v>85</v>
      </c>
      <c r="G13" s="27">
        <f>Summary!$C$4+7*(C13-1)</f>
        <v>46314</v>
      </c>
      <c r="H13" s="27">
        <f t="shared" si="0"/>
        <v>46318</v>
      </c>
      <c r="I13" s="28" t="s">
        <v>47</v>
      </c>
      <c r="J13" s="28" t="s">
        <v>48</v>
      </c>
      <c r="K13" s="25"/>
    </row>
    <row r="14" spans="1:11" x14ac:dyDescent="0.3">
      <c r="A14" s="25" t="s">
        <v>86</v>
      </c>
      <c r="B14" s="26" t="s">
        <v>19</v>
      </c>
      <c r="C14" s="25">
        <v>4</v>
      </c>
      <c r="D14" s="25" t="s">
        <v>87</v>
      </c>
      <c r="E14" s="25" t="s">
        <v>88</v>
      </c>
      <c r="F14" s="25" t="s">
        <v>89</v>
      </c>
      <c r="G14" s="27">
        <f>Summary!$C$4+7*(C14-1)</f>
        <v>46314</v>
      </c>
      <c r="H14" s="27">
        <f t="shared" si="0"/>
        <v>46318</v>
      </c>
      <c r="I14" s="28" t="s">
        <v>47</v>
      </c>
      <c r="J14" s="28" t="s">
        <v>48</v>
      </c>
      <c r="K14" s="25"/>
    </row>
    <row r="15" spans="1:11" ht="26.4" x14ac:dyDescent="0.3">
      <c r="A15" s="25" t="s">
        <v>90</v>
      </c>
      <c r="B15" s="29" t="s">
        <v>22</v>
      </c>
      <c r="C15" s="25">
        <v>5</v>
      </c>
      <c r="D15" s="25" t="s">
        <v>56</v>
      </c>
      <c r="E15" s="25" t="s">
        <v>91</v>
      </c>
      <c r="F15" s="25" t="s">
        <v>58</v>
      </c>
      <c r="G15" s="27">
        <f>Summary!$C$4+7*(C15-1)</f>
        <v>46321</v>
      </c>
      <c r="H15" s="27">
        <f t="shared" si="0"/>
        <v>46325</v>
      </c>
      <c r="I15" s="28" t="s">
        <v>47</v>
      </c>
      <c r="J15" s="28" t="s">
        <v>48</v>
      </c>
      <c r="K15" s="25"/>
    </row>
    <row r="16" spans="1:11" ht="26.4" x14ac:dyDescent="0.3">
      <c r="A16" s="25" t="s">
        <v>92</v>
      </c>
      <c r="B16" s="29" t="s">
        <v>22</v>
      </c>
      <c r="C16" s="25">
        <v>5</v>
      </c>
      <c r="D16" s="25" t="s">
        <v>93</v>
      </c>
      <c r="E16" s="25" t="s">
        <v>94</v>
      </c>
      <c r="F16" s="25" t="s">
        <v>95</v>
      </c>
      <c r="G16" s="27">
        <f>Summary!$C$4+7*(C16-1)</f>
        <v>46321</v>
      </c>
      <c r="H16" s="27">
        <f t="shared" si="0"/>
        <v>46325</v>
      </c>
      <c r="I16" s="28" t="s">
        <v>47</v>
      </c>
      <c r="J16" s="28" t="s">
        <v>48</v>
      </c>
      <c r="K16" s="25"/>
    </row>
    <row r="17" spans="1:11" x14ac:dyDescent="0.3">
      <c r="A17" s="25" t="s">
        <v>96</v>
      </c>
      <c r="B17" s="29" t="s">
        <v>22</v>
      </c>
      <c r="C17" s="25">
        <v>5</v>
      </c>
      <c r="D17" s="25" t="s">
        <v>97</v>
      </c>
      <c r="E17" s="25" t="s">
        <v>98</v>
      </c>
      <c r="F17" s="25" t="s">
        <v>99</v>
      </c>
      <c r="G17" s="27">
        <f>Summary!$C$4+7*(C17-1)</f>
        <v>46321</v>
      </c>
      <c r="H17" s="27">
        <f t="shared" si="0"/>
        <v>46325</v>
      </c>
      <c r="I17" s="28" t="s">
        <v>47</v>
      </c>
      <c r="J17" s="28" t="s">
        <v>48</v>
      </c>
      <c r="K17" s="25"/>
    </row>
    <row r="18" spans="1:11" ht="26.4" x14ac:dyDescent="0.3">
      <c r="A18" s="25" t="s">
        <v>100</v>
      </c>
      <c r="B18" s="29" t="s">
        <v>22</v>
      </c>
      <c r="C18" s="25">
        <v>5</v>
      </c>
      <c r="D18" s="25" t="s">
        <v>97</v>
      </c>
      <c r="E18" s="25" t="s">
        <v>101</v>
      </c>
      <c r="F18" s="25" t="s">
        <v>102</v>
      </c>
      <c r="G18" s="27">
        <f>Summary!$C$4+7*(C18-1)</f>
        <v>46321</v>
      </c>
      <c r="H18" s="27">
        <f t="shared" si="0"/>
        <v>46325</v>
      </c>
      <c r="I18" s="28" t="s">
        <v>47</v>
      </c>
      <c r="J18" s="28" t="s">
        <v>48</v>
      </c>
      <c r="K18" s="25"/>
    </row>
    <row r="19" spans="1:11" x14ac:dyDescent="0.3">
      <c r="A19" s="25" t="s">
        <v>103</v>
      </c>
      <c r="B19" s="29" t="s">
        <v>22</v>
      </c>
      <c r="C19" s="25">
        <v>6</v>
      </c>
      <c r="D19" s="25" t="s">
        <v>70</v>
      </c>
      <c r="E19" s="25" t="s">
        <v>104</v>
      </c>
      <c r="F19" s="25" t="s">
        <v>105</v>
      </c>
      <c r="G19" s="27">
        <f>Summary!$C$4+7*(C19-1)</f>
        <v>46328</v>
      </c>
      <c r="H19" s="27">
        <f t="shared" si="0"/>
        <v>46332</v>
      </c>
      <c r="I19" s="28" t="s">
        <v>47</v>
      </c>
      <c r="J19" s="28" t="s">
        <v>48</v>
      </c>
      <c r="K19" s="25"/>
    </row>
    <row r="20" spans="1:11" x14ac:dyDescent="0.3">
      <c r="A20" s="25" t="s">
        <v>106</v>
      </c>
      <c r="B20" s="29" t="s">
        <v>22</v>
      </c>
      <c r="C20" s="25">
        <v>6</v>
      </c>
      <c r="D20" s="25" t="s">
        <v>93</v>
      </c>
      <c r="E20" s="25" t="s">
        <v>107</v>
      </c>
      <c r="F20" s="25" t="s">
        <v>108</v>
      </c>
      <c r="G20" s="27">
        <f>Summary!$C$4+7*(C20-1)</f>
        <v>46328</v>
      </c>
      <c r="H20" s="27">
        <f t="shared" si="0"/>
        <v>46332</v>
      </c>
      <c r="I20" s="28" t="s">
        <v>47</v>
      </c>
      <c r="J20" s="28" t="s">
        <v>48</v>
      </c>
      <c r="K20" s="25"/>
    </row>
    <row r="21" spans="1:11" ht="26.4" x14ac:dyDescent="0.3">
      <c r="A21" s="25" t="s">
        <v>109</v>
      </c>
      <c r="B21" s="29" t="s">
        <v>22</v>
      </c>
      <c r="C21" s="25">
        <v>7</v>
      </c>
      <c r="D21" s="25" t="s">
        <v>93</v>
      </c>
      <c r="E21" s="25" t="s">
        <v>110</v>
      </c>
      <c r="F21" s="25" t="s">
        <v>111</v>
      </c>
      <c r="G21" s="27">
        <f>Summary!$C$4+7*(C21-1)</f>
        <v>46335</v>
      </c>
      <c r="H21" s="27">
        <f t="shared" si="0"/>
        <v>46339</v>
      </c>
      <c r="I21" s="28" t="s">
        <v>47</v>
      </c>
      <c r="J21" s="28" t="s">
        <v>48</v>
      </c>
      <c r="K21" s="25"/>
    </row>
    <row r="22" spans="1:11" x14ac:dyDescent="0.3">
      <c r="A22" s="25" t="s">
        <v>112</v>
      </c>
      <c r="B22" s="29" t="s">
        <v>22</v>
      </c>
      <c r="C22" s="25">
        <v>7</v>
      </c>
      <c r="D22" s="25" t="s">
        <v>63</v>
      </c>
      <c r="E22" s="25" t="s">
        <v>113</v>
      </c>
      <c r="F22" s="25" t="s">
        <v>114</v>
      </c>
      <c r="G22" s="27">
        <f>Summary!$C$4+7*(C22-1)</f>
        <v>46335</v>
      </c>
      <c r="H22" s="27">
        <f t="shared" si="0"/>
        <v>46339</v>
      </c>
      <c r="I22" s="28" t="s">
        <v>47</v>
      </c>
      <c r="J22" s="28" t="s">
        <v>48</v>
      </c>
      <c r="K22" s="25"/>
    </row>
    <row r="23" spans="1:11" x14ac:dyDescent="0.3">
      <c r="A23" s="25" t="s">
        <v>115</v>
      </c>
      <c r="B23" s="29" t="s">
        <v>22</v>
      </c>
      <c r="C23" s="25">
        <v>8</v>
      </c>
      <c r="D23" s="25" t="s">
        <v>116</v>
      </c>
      <c r="E23" s="25" t="s">
        <v>117</v>
      </c>
      <c r="F23" s="25" t="s">
        <v>118</v>
      </c>
      <c r="G23" s="27">
        <f>Summary!$C$4+7*(C23-1)</f>
        <v>46342</v>
      </c>
      <c r="H23" s="27">
        <f t="shared" si="0"/>
        <v>46346</v>
      </c>
      <c r="I23" s="28" t="s">
        <v>47</v>
      </c>
      <c r="J23" s="28" t="s">
        <v>48</v>
      </c>
      <c r="K23" s="25"/>
    </row>
    <row r="24" spans="1:11" x14ac:dyDescent="0.3">
      <c r="A24" s="25" t="s">
        <v>119</v>
      </c>
      <c r="B24" s="29" t="s">
        <v>22</v>
      </c>
      <c r="C24" s="25">
        <v>8</v>
      </c>
      <c r="D24" s="25" t="s">
        <v>116</v>
      </c>
      <c r="E24" s="25" t="s">
        <v>120</v>
      </c>
      <c r="F24" s="25" t="s">
        <v>121</v>
      </c>
      <c r="G24" s="27">
        <f>Summary!$C$4+7*(C24-1)</f>
        <v>46342</v>
      </c>
      <c r="H24" s="27">
        <f t="shared" si="0"/>
        <v>46346</v>
      </c>
      <c r="I24" s="28" t="s">
        <v>47</v>
      </c>
      <c r="J24" s="28" t="s">
        <v>48</v>
      </c>
      <c r="K24" s="25"/>
    </row>
    <row r="25" spans="1:11" ht="26.4" x14ac:dyDescent="0.3">
      <c r="A25" s="25" t="s">
        <v>122</v>
      </c>
      <c r="B25" s="29" t="s">
        <v>22</v>
      </c>
      <c r="C25" s="25">
        <v>8</v>
      </c>
      <c r="D25" s="25" t="s">
        <v>116</v>
      </c>
      <c r="E25" s="25" t="s">
        <v>123</v>
      </c>
      <c r="F25" s="25" t="s">
        <v>124</v>
      </c>
      <c r="G25" s="27">
        <f>Summary!$C$4+7*(C25-1)</f>
        <v>46342</v>
      </c>
      <c r="H25" s="27">
        <f t="shared" si="0"/>
        <v>46346</v>
      </c>
      <c r="I25" s="28" t="s">
        <v>47</v>
      </c>
      <c r="J25" s="28" t="s">
        <v>48</v>
      </c>
      <c r="K25" s="25"/>
    </row>
    <row r="26" spans="1:11" ht="26.4" x14ac:dyDescent="0.3">
      <c r="A26" s="25" t="s">
        <v>125</v>
      </c>
      <c r="B26" s="29" t="s">
        <v>22</v>
      </c>
      <c r="C26" s="25">
        <v>8</v>
      </c>
      <c r="D26" s="25" t="s">
        <v>116</v>
      </c>
      <c r="E26" s="25" t="s">
        <v>126</v>
      </c>
      <c r="F26" s="25" t="s">
        <v>127</v>
      </c>
      <c r="G26" s="27">
        <f>Summary!$C$4+7*(C26-1)</f>
        <v>46342</v>
      </c>
      <c r="H26" s="27">
        <f t="shared" si="0"/>
        <v>46346</v>
      </c>
      <c r="I26" s="28" t="s">
        <v>47</v>
      </c>
      <c r="J26" s="28" t="s">
        <v>48</v>
      </c>
      <c r="K26" s="25"/>
    </row>
    <row r="27" spans="1:11" ht="26.4" x14ac:dyDescent="0.3">
      <c r="A27" s="25" t="s">
        <v>128</v>
      </c>
      <c r="B27" s="29" t="s">
        <v>22</v>
      </c>
      <c r="C27" s="25">
        <v>8</v>
      </c>
      <c r="D27" s="25" t="s">
        <v>87</v>
      </c>
      <c r="E27" s="25" t="s">
        <v>129</v>
      </c>
      <c r="F27" s="25" t="s">
        <v>130</v>
      </c>
      <c r="G27" s="27">
        <f>Summary!$C$4+7*(C27-1)</f>
        <v>46342</v>
      </c>
      <c r="H27" s="27">
        <f t="shared" si="0"/>
        <v>46346</v>
      </c>
      <c r="I27" s="28" t="s">
        <v>47</v>
      </c>
      <c r="J27" s="28" t="s">
        <v>48</v>
      </c>
      <c r="K27" s="25"/>
    </row>
    <row r="28" spans="1:11" x14ac:dyDescent="0.3">
      <c r="A28" s="25" t="s">
        <v>131</v>
      </c>
      <c r="B28" s="30" t="s">
        <v>25</v>
      </c>
      <c r="C28" s="25">
        <v>9</v>
      </c>
      <c r="D28" s="25" t="s">
        <v>56</v>
      </c>
      <c r="E28" s="25" t="s">
        <v>132</v>
      </c>
      <c r="F28" s="25" t="s">
        <v>58</v>
      </c>
      <c r="G28" s="27">
        <f>Summary!$C$4+7*(C28-1)</f>
        <v>46349</v>
      </c>
      <c r="H28" s="27">
        <f t="shared" si="0"/>
        <v>46353</v>
      </c>
      <c r="I28" s="28" t="s">
        <v>47</v>
      </c>
      <c r="J28" s="28" t="s">
        <v>48</v>
      </c>
      <c r="K28" s="25"/>
    </row>
    <row r="29" spans="1:11" x14ac:dyDescent="0.3">
      <c r="A29" s="25" t="s">
        <v>133</v>
      </c>
      <c r="B29" s="30" t="s">
        <v>25</v>
      </c>
      <c r="C29" s="25">
        <v>9</v>
      </c>
      <c r="D29" s="25" t="s">
        <v>116</v>
      </c>
      <c r="E29" s="25" t="s">
        <v>134</v>
      </c>
      <c r="F29" s="25" t="s">
        <v>135</v>
      </c>
      <c r="G29" s="27">
        <f>Summary!$C$4+7*(C29-1)</f>
        <v>46349</v>
      </c>
      <c r="H29" s="27">
        <f t="shared" si="0"/>
        <v>46353</v>
      </c>
      <c r="I29" s="28" t="s">
        <v>47</v>
      </c>
      <c r="J29" s="28" t="s">
        <v>48</v>
      </c>
      <c r="K29" s="25"/>
    </row>
    <row r="30" spans="1:11" x14ac:dyDescent="0.3">
      <c r="A30" s="25" t="s">
        <v>136</v>
      </c>
      <c r="B30" s="30" t="s">
        <v>25</v>
      </c>
      <c r="C30" s="25">
        <v>9</v>
      </c>
      <c r="D30" s="25" t="s">
        <v>97</v>
      </c>
      <c r="E30" s="25" t="s">
        <v>137</v>
      </c>
      <c r="F30" s="25" t="s">
        <v>138</v>
      </c>
      <c r="G30" s="27">
        <f>Summary!$C$4+7*(C30-1)</f>
        <v>46349</v>
      </c>
      <c r="H30" s="27">
        <f t="shared" si="0"/>
        <v>46353</v>
      </c>
      <c r="I30" s="28" t="s">
        <v>47</v>
      </c>
      <c r="J30" s="28" t="s">
        <v>48</v>
      </c>
      <c r="K30" s="25"/>
    </row>
    <row r="31" spans="1:11" x14ac:dyDescent="0.3">
      <c r="A31" s="25" t="s">
        <v>139</v>
      </c>
      <c r="B31" s="30" t="s">
        <v>25</v>
      </c>
      <c r="C31" s="25">
        <v>10</v>
      </c>
      <c r="D31" s="25" t="s">
        <v>140</v>
      </c>
      <c r="E31" s="25" t="s">
        <v>141</v>
      </c>
      <c r="F31" s="25" t="s">
        <v>142</v>
      </c>
      <c r="G31" s="27">
        <f>Summary!$C$4+7*(C31-1)</f>
        <v>46356</v>
      </c>
      <c r="H31" s="27">
        <f t="shared" si="0"/>
        <v>46360</v>
      </c>
      <c r="I31" s="28" t="s">
        <v>47</v>
      </c>
      <c r="J31" s="28" t="s">
        <v>48</v>
      </c>
      <c r="K31" s="25"/>
    </row>
    <row r="32" spans="1:11" x14ac:dyDescent="0.3">
      <c r="A32" s="25" t="s">
        <v>143</v>
      </c>
      <c r="B32" s="30" t="s">
        <v>25</v>
      </c>
      <c r="C32" s="25">
        <v>10</v>
      </c>
      <c r="D32" s="25" t="s">
        <v>140</v>
      </c>
      <c r="E32" s="25" t="s">
        <v>144</v>
      </c>
      <c r="F32" s="25" t="s">
        <v>95</v>
      </c>
      <c r="G32" s="27">
        <f>Summary!$C$4+7*(C32-1)</f>
        <v>46356</v>
      </c>
      <c r="H32" s="27">
        <f t="shared" si="0"/>
        <v>46360</v>
      </c>
      <c r="I32" s="28" t="s">
        <v>47</v>
      </c>
      <c r="J32" s="28" t="s">
        <v>48</v>
      </c>
      <c r="K32" s="25"/>
    </row>
    <row r="33" spans="1:11" x14ac:dyDescent="0.3">
      <c r="A33" s="25" t="s">
        <v>145</v>
      </c>
      <c r="B33" s="30" t="s">
        <v>25</v>
      </c>
      <c r="C33" s="25">
        <v>10</v>
      </c>
      <c r="D33" s="25" t="s">
        <v>140</v>
      </c>
      <c r="E33" s="25" t="s">
        <v>146</v>
      </c>
      <c r="F33" s="25" t="s">
        <v>147</v>
      </c>
      <c r="G33" s="27">
        <f>Summary!$C$4+7*(C33-1)</f>
        <v>46356</v>
      </c>
      <c r="H33" s="27">
        <f t="shared" si="0"/>
        <v>46360</v>
      </c>
      <c r="I33" s="28" t="s">
        <v>47</v>
      </c>
      <c r="J33" s="28" t="s">
        <v>48</v>
      </c>
      <c r="K33" s="25"/>
    </row>
    <row r="34" spans="1:11" ht="26.4" x14ac:dyDescent="0.3">
      <c r="A34" s="25" t="s">
        <v>148</v>
      </c>
      <c r="B34" s="30" t="s">
        <v>25</v>
      </c>
      <c r="C34" s="25">
        <v>11</v>
      </c>
      <c r="D34" s="25" t="s">
        <v>140</v>
      </c>
      <c r="E34" s="25" t="s">
        <v>149</v>
      </c>
      <c r="F34" s="25" t="s">
        <v>150</v>
      </c>
      <c r="G34" s="27">
        <f>Summary!$C$4+7*(C34-1)</f>
        <v>46363</v>
      </c>
      <c r="H34" s="27">
        <f t="shared" ref="H34:H65" si="1">G34+4</f>
        <v>46367</v>
      </c>
      <c r="I34" s="28" t="s">
        <v>47</v>
      </c>
      <c r="J34" s="28" t="s">
        <v>48</v>
      </c>
      <c r="K34" s="25"/>
    </row>
    <row r="35" spans="1:11" x14ac:dyDescent="0.3">
      <c r="A35" s="25" t="s">
        <v>151</v>
      </c>
      <c r="B35" s="30" t="s">
        <v>25</v>
      </c>
      <c r="C35" s="25">
        <v>11</v>
      </c>
      <c r="D35" s="25" t="s">
        <v>140</v>
      </c>
      <c r="E35" s="25" t="s">
        <v>152</v>
      </c>
      <c r="F35" s="25" t="s">
        <v>95</v>
      </c>
      <c r="G35" s="27">
        <f>Summary!$C$4+7*(C35-1)</f>
        <v>46363</v>
      </c>
      <c r="H35" s="27">
        <f t="shared" si="1"/>
        <v>46367</v>
      </c>
      <c r="I35" s="28" t="s">
        <v>47</v>
      </c>
      <c r="J35" s="28" t="s">
        <v>48</v>
      </c>
      <c r="K35" s="25"/>
    </row>
    <row r="36" spans="1:11" x14ac:dyDescent="0.3">
      <c r="A36" s="25" t="s">
        <v>153</v>
      </c>
      <c r="B36" s="30" t="s">
        <v>25</v>
      </c>
      <c r="C36" s="25">
        <v>11</v>
      </c>
      <c r="D36" s="25" t="s">
        <v>140</v>
      </c>
      <c r="E36" s="25" t="s">
        <v>154</v>
      </c>
      <c r="F36" s="25" t="s">
        <v>155</v>
      </c>
      <c r="G36" s="27">
        <f>Summary!$C$4+7*(C36-1)</f>
        <v>46363</v>
      </c>
      <c r="H36" s="27">
        <f t="shared" si="1"/>
        <v>46367</v>
      </c>
      <c r="I36" s="28" t="s">
        <v>47</v>
      </c>
      <c r="J36" s="28" t="s">
        <v>48</v>
      </c>
      <c r="K36" s="25"/>
    </row>
    <row r="37" spans="1:11" ht="26.4" x14ac:dyDescent="0.3">
      <c r="A37" s="25" t="s">
        <v>156</v>
      </c>
      <c r="B37" s="30" t="s">
        <v>25</v>
      </c>
      <c r="C37" s="25">
        <v>12</v>
      </c>
      <c r="D37" s="25" t="s">
        <v>87</v>
      </c>
      <c r="E37" s="25" t="s">
        <v>157</v>
      </c>
      <c r="F37" s="25" t="s">
        <v>130</v>
      </c>
      <c r="G37" s="27">
        <f>Summary!$C$4+7*(C37-1)</f>
        <v>46370</v>
      </c>
      <c r="H37" s="27">
        <f t="shared" si="1"/>
        <v>46374</v>
      </c>
      <c r="I37" s="28" t="s">
        <v>47</v>
      </c>
      <c r="J37" s="28" t="s">
        <v>48</v>
      </c>
      <c r="K37" s="25"/>
    </row>
    <row r="38" spans="1:11" ht="26.4" x14ac:dyDescent="0.3">
      <c r="A38" s="25" t="s">
        <v>158</v>
      </c>
      <c r="B38" s="30" t="s">
        <v>25</v>
      </c>
      <c r="C38" s="25">
        <v>12</v>
      </c>
      <c r="D38" s="25" t="s">
        <v>63</v>
      </c>
      <c r="E38" s="25" t="s">
        <v>159</v>
      </c>
      <c r="F38" s="25" t="s">
        <v>114</v>
      </c>
      <c r="G38" s="27">
        <f>Summary!$C$4+7*(C38-1)</f>
        <v>46370</v>
      </c>
      <c r="H38" s="27">
        <f t="shared" si="1"/>
        <v>46374</v>
      </c>
      <c r="I38" s="28" t="s">
        <v>47</v>
      </c>
      <c r="J38" s="28" t="s">
        <v>48</v>
      </c>
      <c r="K38" s="25"/>
    </row>
    <row r="39" spans="1:11" x14ac:dyDescent="0.3">
      <c r="A39" s="25" t="s">
        <v>160</v>
      </c>
      <c r="B39" s="31" t="s">
        <v>28</v>
      </c>
      <c r="C39" s="25">
        <v>13</v>
      </c>
      <c r="D39" s="25" t="s">
        <v>87</v>
      </c>
      <c r="E39" s="25" t="s">
        <v>161</v>
      </c>
      <c r="F39" s="25" t="s">
        <v>162</v>
      </c>
      <c r="G39" s="27">
        <f>Summary!$C$4+7*(C39-1)</f>
        <v>46377</v>
      </c>
      <c r="H39" s="27">
        <f t="shared" si="1"/>
        <v>46381</v>
      </c>
      <c r="I39" s="28" t="s">
        <v>47</v>
      </c>
      <c r="J39" s="28" t="s">
        <v>48</v>
      </c>
      <c r="K39" s="25"/>
    </row>
    <row r="40" spans="1:11" x14ac:dyDescent="0.3">
      <c r="A40" s="25" t="s">
        <v>163</v>
      </c>
      <c r="B40" s="31" t="s">
        <v>28</v>
      </c>
      <c r="C40" s="25">
        <v>13</v>
      </c>
      <c r="D40" s="25" t="s">
        <v>87</v>
      </c>
      <c r="E40" s="25" t="s">
        <v>164</v>
      </c>
      <c r="F40" s="25" t="s">
        <v>165</v>
      </c>
      <c r="G40" s="27">
        <f>Summary!$C$4+7*(C40-1)</f>
        <v>46377</v>
      </c>
      <c r="H40" s="27">
        <f t="shared" si="1"/>
        <v>46381</v>
      </c>
      <c r="I40" s="28" t="s">
        <v>47</v>
      </c>
      <c r="J40" s="28" t="s">
        <v>48</v>
      </c>
      <c r="K40" s="25"/>
    </row>
    <row r="41" spans="1:11" x14ac:dyDescent="0.3">
      <c r="A41" s="25" t="s">
        <v>166</v>
      </c>
      <c r="B41" s="31" t="s">
        <v>28</v>
      </c>
      <c r="C41" s="25">
        <v>13</v>
      </c>
      <c r="D41" s="25" t="s">
        <v>87</v>
      </c>
      <c r="E41" s="25" t="s">
        <v>167</v>
      </c>
      <c r="F41" s="25" t="s">
        <v>168</v>
      </c>
      <c r="G41" s="27">
        <f>Summary!$C$4+7*(C41-1)</f>
        <v>46377</v>
      </c>
      <c r="H41" s="27">
        <f t="shared" si="1"/>
        <v>46381</v>
      </c>
      <c r="I41" s="28" t="s">
        <v>47</v>
      </c>
      <c r="J41" s="28" t="s">
        <v>48</v>
      </c>
      <c r="K41" s="25"/>
    </row>
    <row r="42" spans="1:11" x14ac:dyDescent="0.3">
      <c r="A42" s="25" t="s">
        <v>169</v>
      </c>
      <c r="B42" s="31" t="s">
        <v>28</v>
      </c>
      <c r="C42" s="25">
        <v>13</v>
      </c>
      <c r="D42" s="25" t="s">
        <v>170</v>
      </c>
      <c r="E42" s="25" t="s">
        <v>171</v>
      </c>
      <c r="F42" s="25" t="s">
        <v>172</v>
      </c>
      <c r="G42" s="27">
        <f>Summary!$C$4+7*(C42-1)</f>
        <v>46377</v>
      </c>
      <c r="H42" s="27">
        <f t="shared" si="1"/>
        <v>46381</v>
      </c>
      <c r="I42" s="28" t="s">
        <v>47</v>
      </c>
      <c r="J42" s="28" t="s">
        <v>48</v>
      </c>
      <c r="K42" s="25"/>
    </row>
    <row r="43" spans="1:11" x14ac:dyDescent="0.3">
      <c r="A43" s="25" t="s">
        <v>173</v>
      </c>
      <c r="B43" s="31" t="s">
        <v>28</v>
      </c>
      <c r="C43" s="25">
        <v>14</v>
      </c>
      <c r="D43" s="25" t="s">
        <v>174</v>
      </c>
      <c r="E43" s="25" t="s">
        <v>175</v>
      </c>
      <c r="F43" s="25" t="s">
        <v>176</v>
      </c>
      <c r="G43" s="27">
        <f>Summary!$C$4+7*(C43-1)</f>
        <v>46384</v>
      </c>
      <c r="H43" s="27">
        <f t="shared" si="1"/>
        <v>46388</v>
      </c>
      <c r="I43" s="28" t="s">
        <v>47</v>
      </c>
      <c r="J43" s="28" t="s">
        <v>48</v>
      </c>
      <c r="K43" s="25"/>
    </row>
    <row r="44" spans="1:11" x14ac:dyDescent="0.3">
      <c r="A44" s="25" t="s">
        <v>177</v>
      </c>
      <c r="B44" s="31" t="s">
        <v>28</v>
      </c>
      <c r="C44" s="25">
        <v>14</v>
      </c>
      <c r="D44" s="25" t="s">
        <v>174</v>
      </c>
      <c r="E44" s="25" t="s">
        <v>178</v>
      </c>
      <c r="F44" s="25" t="s">
        <v>179</v>
      </c>
      <c r="G44" s="27">
        <f>Summary!$C$4+7*(C44-1)</f>
        <v>46384</v>
      </c>
      <c r="H44" s="27">
        <f t="shared" si="1"/>
        <v>46388</v>
      </c>
      <c r="I44" s="28" t="s">
        <v>47</v>
      </c>
      <c r="J44" s="28" t="s">
        <v>48</v>
      </c>
      <c r="K44" s="25"/>
    </row>
    <row r="45" spans="1:11" ht="26.4" x14ac:dyDescent="0.3">
      <c r="A45" s="25" t="s">
        <v>180</v>
      </c>
      <c r="B45" s="31" t="s">
        <v>28</v>
      </c>
      <c r="C45" s="25">
        <v>14</v>
      </c>
      <c r="D45" s="25" t="s">
        <v>174</v>
      </c>
      <c r="E45" s="25" t="s">
        <v>181</v>
      </c>
      <c r="F45" s="25" t="s">
        <v>182</v>
      </c>
      <c r="G45" s="27">
        <f>Summary!$C$4+7*(C45-1)</f>
        <v>46384</v>
      </c>
      <c r="H45" s="27">
        <f t="shared" si="1"/>
        <v>46388</v>
      </c>
      <c r="I45" s="28" t="s">
        <v>47</v>
      </c>
      <c r="J45" s="28" t="s">
        <v>48</v>
      </c>
      <c r="K45" s="25"/>
    </row>
    <row r="46" spans="1:11" ht="26.4" x14ac:dyDescent="0.3">
      <c r="A46" s="25" t="s">
        <v>183</v>
      </c>
      <c r="B46" s="31" t="s">
        <v>28</v>
      </c>
      <c r="C46" s="25">
        <v>15</v>
      </c>
      <c r="D46" s="25" t="s">
        <v>184</v>
      </c>
      <c r="E46" s="25" t="s">
        <v>185</v>
      </c>
      <c r="F46" s="25" t="s">
        <v>186</v>
      </c>
      <c r="G46" s="27">
        <f>Summary!$C$4+7*(C46-1)</f>
        <v>46391</v>
      </c>
      <c r="H46" s="27">
        <f t="shared" si="1"/>
        <v>46395</v>
      </c>
      <c r="I46" s="28" t="s">
        <v>47</v>
      </c>
      <c r="J46" s="28" t="s">
        <v>48</v>
      </c>
      <c r="K46" s="25"/>
    </row>
    <row r="47" spans="1:11" x14ac:dyDescent="0.3">
      <c r="A47" s="25" t="s">
        <v>187</v>
      </c>
      <c r="B47" s="31" t="s">
        <v>28</v>
      </c>
      <c r="C47" s="25">
        <v>15</v>
      </c>
      <c r="D47" s="25" t="s">
        <v>184</v>
      </c>
      <c r="E47" s="25" t="s">
        <v>188</v>
      </c>
      <c r="F47" s="25" t="s">
        <v>189</v>
      </c>
      <c r="G47" s="27">
        <f>Summary!$C$4+7*(C47-1)</f>
        <v>46391</v>
      </c>
      <c r="H47" s="27">
        <f t="shared" si="1"/>
        <v>46395</v>
      </c>
      <c r="I47" s="28" t="s">
        <v>47</v>
      </c>
      <c r="J47" s="28" t="s">
        <v>48</v>
      </c>
      <c r="K47" s="25"/>
    </row>
    <row r="48" spans="1:11" x14ac:dyDescent="0.3">
      <c r="A48" s="25" t="s">
        <v>190</v>
      </c>
      <c r="B48" s="31" t="s">
        <v>28</v>
      </c>
      <c r="C48" s="25">
        <v>15</v>
      </c>
      <c r="D48" s="25" t="s">
        <v>184</v>
      </c>
      <c r="E48" s="25" t="s">
        <v>191</v>
      </c>
      <c r="F48" s="25" t="s">
        <v>192</v>
      </c>
      <c r="G48" s="27">
        <f>Summary!$C$4+7*(C48-1)</f>
        <v>46391</v>
      </c>
      <c r="H48" s="27">
        <f t="shared" si="1"/>
        <v>46395</v>
      </c>
      <c r="I48" s="28" t="s">
        <v>47</v>
      </c>
      <c r="J48" s="28" t="s">
        <v>48</v>
      </c>
      <c r="K48" s="25"/>
    </row>
    <row r="49" spans="1:11" x14ac:dyDescent="0.3">
      <c r="A49" s="25" t="s">
        <v>193</v>
      </c>
      <c r="B49" s="31" t="s">
        <v>28</v>
      </c>
      <c r="C49" s="25">
        <v>16</v>
      </c>
      <c r="D49" s="25" t="s">
        <v>194</v>
      </c>
      <c r="E49" s="25" t="s">
        <v>195</v>
      </c>
      <c r="F49" s="25" t="s">
        <v>196</v>
      </c>
      <c r="G49" s="27">
        <f>Summary!$C$4+7*(C49-1)</f>
        <v>46398</v>
      </c>
      <c r="H49" s="27">
        <f t="shared" si="1"/>
        <v>46402</v>
      </c>
      <c r="I49" s="28" t="s">
        <v>47</v>
      </c>
      <c r="J49" s="28" t="s">
        <v>48</v>
      </c>
      <c r="K49" s="25"/>
    </row>
    <row r="50" spans="1:11" x14ac:dyDescent="0.3">
      <c r="A50" s="25" t="s">
        <v>197</v>
      </c>
      <c r="B50" s="31" t="s">
        <v>28</v>
      </c>
      <c r="C50" s="25">
        <v>16</v>
      </c>
      <c r="D50" s="25" t="s">
        <v>194</v>
      </c>
      <c r="E50" s="25" t="s">
        <v>198</v>
      </c>
      <c r="F50" s="25" t="s">
        <v>199</v>
      </c>
      <c r="G50" s="27">
        <f>Summary!$C$4+7*(C50-1)</f>
        <v>46398</v>
      </c>
      <c r="H50" s="27">
        <f t="shared" si="1"/>
        <v>46402</v>
      </c>
      <c r="I50" s="28" t="s">
        <v>47</v>
      </c>
      <c r="J50" s="28" t="s">
        <v>48</v>
      </c>
      <c r="K50" s="25"/>
    </row>
    <row r="51" spans="1:11" ht="26.4" x14ac:dyDescent="0.3">
      <c r="A51" s="25" t="s">
        <v>200</v>
      </c>
      <c r="B51" s="31" t="s">
        <v>28</v>
      </c>
      <c r="C51" s="25">
        <v>16</v>
      </c>
      <c r="D51" s="25" t="s">
        <v>194</v>
      </c>
      <c r="E51" s="25" t="s">
        <v>201</v>
      </c>
      <c r="F51" s="25" t="s">
        <v>202</v>
      </c>
      <c r="G51" s="27">
        <f>Summary!$C$4+7*(C51-1)</f>
        <v>46398</v>
      </c>
      <c r="H51" s="27">
        <f t="shared" si="1"/>
        <v>46402</v>
      </c>
      <c r="I51" s="28" t="s">
        <v>47</v>
      </c>
      <c r="J51" s="28" t="s">
        <v>48</v>
      </c>
      <c r="K51" s="25"/>
    </row>
    <row r="52" spans="1:11" x14ac:dyDescent="0.3">
      <c r="A52" s="25" t="s">
        <v>203</v>
      </c>
      <c r="B52" s="31" t="s">
        <v>28</v>
      </c>
      <c r="C52" s="25">
        <v>16</v>
      </c>
      <c r="D52" s="25" t="s">
        <v>204</v>
      </c>
      <c r="E52" s="25" t="s">
        <v>205</v>
      </c>
      <c r="F52" s="25" t="s">
        <v>206</v>
      </c>
      <c r="G52" s="27">
        <f>Summary!$C$4+7*(C52-1)</f>
        <v>46398</v>
      </c>
      <c r="H52" s="27">
        <f t="shared" si="1"/>
        <v>46402</v>
      </c>
      <c r="I52" s="28" t="s">
        <v>47</v>
      </c>
      <c r="J52" s="28" t="s">
        <v>48</v>
      </c>
      <c r="K52" s="25"/>
    </row>
  </sheetData>
  <autoFilter ref="A1:K52" xr:uid="{00000000-0009-0000-0000-000001000000}"/>
  <conditionalFormatting sqref="A2:K102">
    <cfRule type="expression" dxfId="4" priority="2">
      <formula>$I2="Done"</formula>
    </cfRule>
    <cfRule type="expression" dxfId="3" priority="3">
      <formula>$I2="Blocked"</formula>
    </cfRule>
    <cfRule type="expression" dxfId="2" priority="4">
      <formula>$I2="In progress"</formula>
    </cfRule>
  </conditionalFormatting>
  <dataValidations count="1">
    <dataValidation type="list" allowBlank="1" sqref="I2:I102" xr:uid="{00000000-0002-0000-0100-000000000000}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6" customWidth="1"/>
    <col min="2" max="2" width="9" customWidth="1"/>
    <col min="3" max="3" width="28" customWidth="1"/>
    <col min="4" max="4" width="55" customWidth="1"/>
    <col min="5" max="5" width="10" customWidth="1"/>
    <col min="6" max="6" width="30" customWidth="1"/>
    <col min="7" max="7" width="13" customWidth="1"/>
  </cols>
  <sheetData>
    <row r="1" spans="1:7" x14ac:dyDescent="0.3">
      <c r="A1" s="32" t="s">
        <v>35</v>
      </c>
      <c r="B1" s="32" t="s">
        <v>6</v>
      </c>
      <c r="C1" s="32" t="s">
        <v>207</v>
      </c>
      <c r="D1" s="32" t="s">
        <v>208</v>
      </c>
      <c r="E1" s="32" t="s">
        <v>40</v>
      </c>
      <c r="F1" s="32" t="s">
        <v>209</v>
      </c>
      <c r="G1" s="32" t="s">
        <v>210</v>
      </c>
    </row>
    <row r="2" spans="1:7" x14ac:dyDescent="0.3">
      <c r="A2" s="25" t="s">
        <v>211</v>
      </c>
      <c r="B2" s="26" t="s">
        <v>19</v>
      </c>
      <c r="C2" s="25" t="s">
        <v>212</v>
      </c>
      <c r="D2" s="25" t="s">
        <v>213</v>
      </c>
      <c r="E2" s="28" t="s">
        <v>214</v>
      </c>
      <c r="F2" s="25"/>
      <c r="G2" s="33"/>
    </row>
    <row r="3" spans="1:7" x14ac:dyDescent="0.3">
      <c r="A3" s="25" t="s">
        <v>215</v>
      </c>
      <c r="B3" s="26" t="s">
        <v>19</v>
      </c>
      <c r="C3" s="25" t="s">
        <v>216</v>
      </c>
      <c r="D3" s="25" t="s">
        <v>217</v>
      </c>
      <c r="E3" s="28" t="s">
        <v>214</v>
      </c>
      <c r="F3" s="25"/>
      <c r="G3" s="33"/>
    </row>
    <row r="4" spans="1:7" x14ac:dyDescent="0.3">
      <c r="A4" s="25" t="s">
        <v>218</v>
      </c>
      <c r="B4" s="26" t="s">
        <v>19</v>
      </c>
      <c r="C4" s="25" t="s">
        <v>219</v>
      </c>
      <c r="D4" s="25" t="s">
        <v>220</v>
      </c>
      <c r="E4" s="28" t="s">
        <v>214</v>
      </c>
      <c r="F4" s="25"/>
      <c r="G4" s="33"/>
    </row>
    <row r="5" spans="1:7" x14ac:dyDescent="0.3">
      <c r="A5" s="25" t="s">
        <v>221</v>
      </c>
      <c r="B5" s="26" t="s">
        <v>19</v>
      </c>
      <c r="C5" s="25" t="s">
        <v>222</v>
      </c>
      <c r="D5" s="25" t="s">
        <v>223</v>
      </c>
      <c r="E5" s="28" t="s">
        <v>214</v>
      </c>
      <c r="F5" s="25"/>
      <c r="G5" s="33"/>
    </row>
    <row r="6" spans="1:7" x14ac:dyDescent="0.3">
      <c r="A6" s="25" t="s">
        <v>224</v>
      </c>
      <c r="B6" s="26" t="s">
        <v>19</v>
      </c>
      <c r="C6" s="25" t="s">
        <v>225</v>
      </c>
      <c r="D6" s="25" t="s">
        <v>226</v>
      </c>
      <c r="E6" s="28" t="s">
        <v>214</v>
      </c>
      <c r="F6" s="25"/>
      <c r="G6" s="33"/>
    </row>
    <row r="7" spans="1:7" x14ac:dyDescent="0.3">
      <c r="A7" s="25" t="s">
        <v>227</v>
      </c>
      <c r="B7" s="29" t="s">
        <v>22</v>
      </c>
      <c r="C7" s="25" t="s">
        <v>228</v>
      </c>
      <c r="D7" s="25" t="s">
        <v>229</v>
      </c>
      <c r="E7" s="28" t="s">
        <v>214</v>
      </c>
      <c r="F7" s="25"/>
      <c r="G7" s="33"/>
    </row>
    <row r="8" spans="1:7" x14ac:dyDescent="0.3">
      <c r="A8" s="25" t="s">
        <v>230</v>
      </c>
      <c r="B8" s="29" t="s">
        <v>22</v>
      </c>
      <c r="C8" s="25" t="s">
        <v>231</v>
      </c>
      <c r="D8" s="25" t="s">
        <v>232</v>
      </c>
      <c r="E8" s="28" t="s">
        <v>214</v>
      </c>
      <c r="F8" s="25"/>
      <c r="G8" s="33"/>
    </row>
    <row r="9" spans="1:7" x14ac:dyDescent="0.3">
      <c r="A9" s="25" t="s">
        <v>233</v>
      </c>
      <c r="B9" s="29" t="s">
        <v>22</v>
      </c>
      <c r="C9" s="25" t="s">
        <v>234</v>
      </c>
      <c r="D9" s="25" t="s">
        <v>235</v>
      </c>
      <c r="E9" s="28" t="s">
        <v>214</v>
      </c>
      <c r="F9" s="25"/>
      <c r="G9" s="33"/>
    </row>
    <row r="10" spans="1:7" x14ac:dyDescent="0.3">
      <c r="A10" s="25" t="s">
        <v>236</v>
      </c>
      <c r="B10" s="29" t="s">
        <v>22</v>
      </c>
      <c r="C10" s="25" t="s">
        <v>237</v>
      </c>
      <c r="D10" s="25" t="s">
        <v>238</v>
      </c>
      <c r="E10" s="28" t="s">
        <v>214</v>
      </c>
      <c r="F10" s="25"/>
      <c r="G10" s="33"/>
    </row>
    <row r="11" spans="1:7" x14ac:dyDescent="0.3">
      <c r="A11" s="25" t="s">
        <v>239</v>
      </c>
      <c r="B11" s="30" t="s">
        <v>25</v>
      </c>
      <c r="C11" s="25" t="s">
        <v>240</v>
      </c>
      <c r="D11" s="25" t="s">
        <v>241</v>
      </c>
      <c r="E11" s="28" t="s">
        <v>214</v>
      </c>
      <c r="F11" s="25"/>
      <c r="G11" s="33"/>
    </row>
    <row r="12" spans="1:7" x14ac:dyDescent="0.3">
      <c r="A12" s="25" t="s">
        <v>242</v>
      </c>
      <c r="B12" s="30" t="s">
        <v>25</v>
      </c>
      <c r="C12" s="25" t="s">
        <v>243</v>
      </c>
      <c r="D12" s="25" t="s">
        <v>244</v>
      </c>
      <c r="E12" s="28" t="s">
        <v>214</v>
      </c>
      <c r="F12" s="25"/>
      <c r="G12" s="33"/>
    </row>
    <row r="13" spans="1:7" x14ac:dyDescent="0.3">
      <c r="A13" s="25" t="s">
        <v>245</v>
      </c>
      <c r="B13" s="30" t="s">
        <v>25</v>
      </c>
      <c r="C13" s="25" t="s">
        <v>246</v>
      </c>
      <c r="D13" s="25" t="s">
        <v>247</v>
      </c>
      <c r="E13" s="28" t="s">
        <v>214</v>
      </c>
      <c r="F13" s="25"/>
      <c r="G13" s="33"/>
    </row>
    <row r="14" spans="1:7" x14ac:dyDescent="0.3">
      <c r="A14" s="25" t="s">
        <v>248</v>
      </c>
      <c r="B14" s="30" t="s">
        <v>25</v>
      </c>
      <c r="C14" s="25" t="s">
        <v>249</v>
      </c>
      <c r="D14" s="25" t="s">
        <v>250</v>
      </c>
      <c r="E14" s="28" t="s">
        <v>214</v>
      </c>
      <c r="F14" s="25"/>
      <c r="G14" s="33"/>
    </row>
    <row r="15" spans="1:7" x14ac:dyDescent="0.3">
      <c r="A15" s="25" t="s">
        <v>251</v>
      </c>
      <c r="B15" s="31" t="s">
        <v>28</v>
      </c>
      <c r="C15" s="25" t="s">
        <v>252</v>
      </c>
      <c r="D15" s="25" t="s">
        <v>253</v>
      </c>
      <c r="E15" s="28" t="s">
        <v>214</v>
      </c>
      <c r="F15" s="25"/>
      <c r="G15" s="33"/>
    </row>
    <row r="16" spans="1:7" x14ac:dyDescent="0.3">
      <c r="A16" s="25" t="s">
        <v>254</v>
      </c>
      <c r="B16" s="31" t="s">
        <v>28</v>
      </c>
      <c r="C16" s="25" t="s">
        <v>184</v>
      </c>
      <c r="D16" s="25" t="s">
        <v>255</v>
      </c>
      <c r="E16" s="28" t="s">
        <v>214</v>
      </c>
      <c r="F16" s="25"/>
      <c r="G16" s="33"/>
    </row>
    <row r="17" spans="1:7" x14ac:dyDescent="0.3">
      <c r="A17" s="25" t="s">
        <v>256</v>
      </c>
      <c r="B17" s="31" t="s">
        <v>28</v>
      </c>
      <c r="C17" s="25" t="s">
        <v>257</v>
      </c>
      <c r="D17" s="25" t="s">
        <v>258</v>
      </c>
      <c r="E17" s="28" t="s">
        <v>214</v>
      </c>
      <c r="F17" s="25"/>
      <c r="G17" s="33"/>
    </row>
    <row r="18" spans="1:7" x14ac:dyDescent="0.3">
      <c r="A18" s="25" t="s">
        <v>259</v>
      </c>
      <c r="B18" s="31" t="s">
        <v>28</v>
      </c>
      <c r="C18" s="25" t="s">
        <v>260</v>
      </c>
      <c r="D18" s="25" t="s">
        <v>261</v>
      </c>
      <c r="E18" s="28" t="s">
        <v>214</v>
      </c>
      <c r="F18" s="25"/>
      <c r="G18" s="33"/>
    </row>
    <row r="19" spans="1:7" x14ac:dyDescent="0.3">
      <c r="A19" s="25" t="s">
        <v>262</v>
      </c>
      <c r="B19" s="31" t="s">
        <v>28</v>
      </c>
      <c r="C19" s="25" t="s">
        <v>263</v>
      </c>
      <c r="D19" s="25" t="s">
        <v>264</v>
      </c>
      <c r="E19" s="28" t="s">
        <v>214</v>
      </c>
      <c r="F19" s="25"/>
      <c r="G19" s="33"/>
    </row>
  </sheetData>
  <autoFilter ref="A1:G19" xr:uid="{00000000-0009-0000-0000-000002000000}"/>
  <conditionalFormatting sqref="A2:G49">
    <cfRule type="expression" dxfId="1" priority="2">
      <formula>$E2="Met"</formula>
    </cfRule>
  </conditionalFormatting>
  <dataValidations count="1">
    <dataValidation type="list" allowBlank="1" sqref="E2:E49" xr:uid="{00000000-0002-0000-0200-000000000000}">
      <formula1>"Not met,Met"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6" sqref="C16"/>
    </sheetView>
  </sheetViews>
  <sheetFormatPr defaultColWidth="8.6640625" defaultRowHeight="14.4" x14ac:dyDescent="0.3"/>
  <cols>
    <col min="1" max="1" width="6" customWidth="1"/>
    <col min="2" max="2" width="10" customWidth="1"/>
    <col min="3" max="3" width="60" customWidth="1"/>
    <col min="4" max="4" width="24" customWidth="1"/>
    <col min="5" max="5" width="16" customWidth="1"/>
    <col min="6" max="6" width="15" customWidth="1"/>
    <col min="7" max="7" width="10" customWidth="1"/>
    <col min="8" max="8" width="35" customWidth="1"/>
  </cols>
  <sheetData>
    <row r="1" spans="1:8" x14ac:dyDescent="0.3">
      <c r="A1" s="32" t="s">
        <v>35</v>
      </c>
      <c r="B1" s="32" t="s">
        <v>265</v>
      </c>
      <c r="C1" s="32" t="s">
        <v>266</v>
      </c>
      <c r="D1" s="32" t="s">
        <v>267</v>
      </c>
      <c r="E1" s="32" t="s">
        <v>268</v>
      </c>
      <c r="F1" s="32" t="s">
        <v>41</v>
      </c>
      <c r="G1" s="32" t="s">
        <v>40</v>
      </c>
      <c r="H1" s="32" t="s">
        <v>269</v>
      </c>
    </row>
    <row r="2" spans="1:8" x14ac:dyDescent="0.3">
      <c r="A2" s="25" t="s">
        <v>270</v>
      </c>
      <c r="B2" s="25" t="s">
        <v>271</v>
      </c>
      <c r="C2" s="25" t="s">
        <v>272</v>
      </c>
      <c r="D2" s="25" t="s">
        <v>273</v>
      </c>
      <c r="E2" s="25" t="s">
        <v>274</v>
      </c>
      <c r="F2" s="25" t="s">
        <v>275</v>
      </c>
      <c r="G2" s="28" t="s">
        <v>276</v>
      </c>
      <c r="H2" s="25"/>
    </row>
    <row r="3" spans="1:8" ht="26.4" x14ac:dyDescent="0.3">
      <c r="A3" s="25" t="s">
        <v>277</v>
      </c>
      <c r="B3" s="25" t="s">
        <v>271</v>
      </c>
      <c r="C3" s="25" t="s">
        <v>278</v>
      </c>
      <c r="D3" s="25" t="s">
        <v>279</v>
      </c>
      <c r="E3" s="25" t="s">
        <v>274</v>
      </c>
      <c r="F3" s="25" t="s">
        <v>275</v>
      </c>
      <c r="G3" s="28" t="s">
        <v>276</v>
      </c>
      <c r="H3" s="25"/>
    </row>
    <row r="4" spans="1:8" x14ac:dyDescent="0.3">
      <c r="A4" s="25" t="s">
        <v>280</v>
      </c>
      <c r="B4" s="25" t="s">
        <v>271</v>
      </c>
      <c r="C4" s="25" t="s">
        <v>281</v>
      </c>
      <c r="D4" s="25" t="s">
        <v>282</v>
      </c>
      <c r="E4" s="25" t="s">
        <v>274</v>
      </c>
      <c r="F4" s="25" t="s">
        <v>283</v>
      </c>
      <c r="G4" s="28" t="s">
        <v>276</v>
      </c>
      <c r="H4" s="25"/>
    </row>
    <row r="5" spans="1:8" x14ac:dyDescent="0.3">
      <c r="A5" s="25" t="s">
        <v>284</v>
      </c>
      <c r="B5" s="25" t="s">
        <v>271</v>
      </c>
      <c r="C5" s="25" t="s">
        <v>285</v>
      </c>
      <c r="D5" s="25" t="s">
        <v>286</v>
      </c>
      <c r="E5" s="25" t="s">
        <v>274</v>
      </c>
      <c r="F5" s="25" t="s">
        <v>275</v>
      </c>
      <c r="G5" s="28" t="s">
        <v>276</v>
      </c>
      <c r="H5" s="25"/>
    </row>
    <row r="6" spans="1:8" ht="26.4" x14ac:dyDescent="0.3">
      <c r="A6" s="25" t="s">
        <v>287</v>
      </c>
      <c r="B6" s="25" t="s">
        <v>288</v>
      </c>
      <c r="C6" s="25" t="s">
        <v>289</v>
      </c>
      <c r="D6" s="25" t="s">
        <v>290</v>
      </c>
      <c r="E6" s="25" t="s">
        <v>274</v>
      </c>
      <c r="F6" s="25" t="s">
        <v>283</v>
      </c>
      <c r="G6" s="28" t="s">
        <v>276</v>
      </c>
      <c r="H6" s="25"/>
    </row>
    <row r="7" spans="1:8" ht="26.4" x14ac:dyDescent="0.3">
      <c r="A7" s="25" t="s">
        <v>291</v>
      </c>
      <c r="B7" s="25" t="s">
        <v>292</v>
      </c>
      <c r="C7" s="25" t="s">
        <v>293</v>
      </c>
      <c r="D7" s="25" t="s">
        <v>294</v>
      </c>
      <c r="E7" s="25" t="s">
        <v>295</v>
      </c>
      <c r="F7" s="25" t="s">
        <v>283</v>
      </c>
      <c r="G7" s="28" t="s">
        <v>276</v>
      </c>
      <c r="H7" s="25"/>
    </row>
    <row r="8" spans="1:8" ht="26.4" x14ac:dyDescent="0.3">
      <c r="A8" s="25" t="s">
        <v>296</v>
      </c>
      <c r="B8" s="25" t="s">
        <v>292</v>
      </c>
      <c r="C8" s="25" t="s">
        <v>297</v>
      </c>
      <c r="D8" s="25" t="s">
        <v>298</v>
      </c>
      <c r="E8" s="25" t="s">
        <v>299</v>
      </c>
      <c r="F8" s="25" t="s">
        <v>275</v>
      </c>
      <c r="G8" s="28" t="s">
        <v>276</v>
      </c>
      <c r="H8" s="25"/>
    </row>
    <row r="9" spans="1:8" ht="26.4" x14ac:dyDescent="0.3">
      <c r="A9" s="25" t="s">
        <v>300</v>
      </c>
      <c r="B9" s="25" t="s">
        <v>292</v>
      </c>
      <c r="C9" s="25" t="s">
        <v>301</v>
      </c>
      <c r="D9" s="25" t="s">
        <v>302</v>
      </c>
      <c r="E9" s="25" t="s">
        <v>303</v>
      </c>
      <c r="F9" s="25" t="s">
        <v>283</v>
      </c>
      <c r="G9" s="28" t="s">
        <v>276</v>
      </c>
      <c r="H9" s="25"/>
    </row>
    <row r="10" spans="1:8" x14ac:dyDescent="0.3">
      <c r="A10" s="25" t="s">
        <v>304</v>
      </c>
      <c r="B10" s="25" t="s">
        <v>292</v>
      </c>
      <c r="C10" s="25" t="s">
        <v>305</v>
      </c>
      <c r="D10" s="25" t="s">
        <v>286</v>
      </c>
      <c r="E10" s="25" t="s">
        <v>306</v>
      </c>
      <c r="F10" s="25" t="s">
        <v>48</v>
      </c>
      <c r="G10" s="28" t="s">
        <v>276</v>
      </c>
      <c r="H10" s="25"/>
    </row>
  </sheetData>
  <autoFilter ref="A1:H10" xr:uid="{00000000-0009-0000-0000-000003000000}"/>
  <conditionalFormatting sqref="A2:H40">
    <cfRule type="expression" dxfId="0" priority="2">
      <formula>$G2&lt;&gt;"Open"</formula>
    </cfRule>
  </conditionalFormatting>
  <dataValidations count="1">
    <dataValidation type="list" allowBlank="1" sqref="G2:G40" xr:uid="{00000000-0002-0000-0300-000000000000}">
      <formula1>"Open,Resolved,Accepted"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Tasks</vt:lpstr>
      <vt:lpstr>Exit Criteria</vt:lpstr>
      <vt:lpstr>Decisions &amp;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Bruno Bruno Payang</cp:lastModifiedBy>
  <cp:revision>0</cp:revision>
  <dcterms:created xsi:type="dcterms:W3CDTF">2026-09-25T17:34:56Z</dcterms:created>
  <dcterms:modified xsi:type="dcterms:W3CDTF">2026-09-25T21:09:22Z</dcterms:modified>
  <dc:language>en-US</dc:language>
</cp:coreProperties>
</file>